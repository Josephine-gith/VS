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user\Documents\Mines IC\TR Fluide\VS\Experiences\"/>
    </mc:Choice>
  </mc:AlternateContent>
  <xr:revisionPtr revIDLastSave="0" documentId="13_ncr:1_{F4A353F0-5D10-4426-9074-E98BC8737780}" xr6:coauthVersionLast="47" xr6:coauthVersionMax="47" xr10:uidLastSave="{00000000-0000-0000-0000-000000000000}"/>
  <bookViews>
    <workbookView xWindow="1100" yWindow="1100" windowWidth="9680" windowHeight="8570" xr2:uid="{00000000-000D-0000-FFFF-FFFF00000000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8" i="1" l="1"/>
  <c r="B11" i="1"/>
  <c r="B13" i="1"/>
  <c r="B14" i="1"/>
  <c r="B6" i="1"/>
  <c r="B5" i="1"/>
  <c r="B3" i="1"/>
  <c r="B2" i="1"/>
</calcChain>
</file>

<file path=xl/sharedStrings.xml><?xml version="1.0" encoding="utf-8"?>
<sst xmlns="http://schemas.openxmlformats.org/spreadsheetml/2006/main" count="11" uniqueCount="11">
  <si>
    <t>% kaolin</t>
  </si>
  <si>
    <t>k</t>
  </si>
  <si>
    <t>m [kg]</t>
  </si>
  <si>
    <t>M [kg]</t>
  </si>
  <si>
    <t>D_0 [mm]</t>
  </si>
  <si>
    <t>D_max [mm]</t>
  </si>
  <si>
    <t>rho [kg/m3]</t>
  </si>
  <si>
    <t>tau0</t>
  </si>
  <si>
    <t>m</t>
  </si>
  <si>
    <t>G</t>
  </si>
  <si>
    <t>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</si>
</sst>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"/>
  <sheetViews>
    <sheetView tabSelected="1" topLeftCell="E1" workbookViewId="0">
      <selection activeCell="M8" sqref="M8"/>
    </sheetView>
  </sheetViews>
  <sheetFormatPr baseColWidth="10" defaultColWidth="8.7265625" defaultRowHeight="14.5" x14ac:dyDescent="0.35"/>
  <cols>
    <col min="2" max="2" width="8.81640625" customWidth="1"/>
    <col min="3" max="3" width="10" customWidth="1"/>
    <col min="5" max="5" width="11.6328125" bestFit="1" customWidth="1"/>
    <col min="6" max="6" width="10.7265625" bestFit="1" customWidth="1"/>
    <col min="10" max="10" width="8.26953125" bestFit="1" customWidth="1"/>
    <col min="11" max="11" width="6.6328125" customWidth="1"/>
  </cols>
  <sheetData>
    <row r="1" spans="1:11" x14ac:dyDescent="0.3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1</v>
      </c>
      <c r="I1" t="s">
        <v>8</v>
      </c>
      <c r="J1" t="s">
        <v>9</v>
      </c>
      <c r="K1" t="s">
        <v>10</v>
      </c>
    </row>
    <row r="2" spans="1:11" x14ac:dyDescent="0.35">
      <c r="A2">
        <v>50</v>
      </c>
      <c r="B2">
        <f>5.1073-5.0271</f>
        <v>8.0200000000000493E-2</v>
      </c>
      <c r="C2">
        <v>20.010100000000001</v>
      </c>
      <c r="D2">
        <v>9.83</v>
      </c>
      <c r="E2">
        <v>15.82</v>
      </c>
      <c r="F2">
        <v>1384.1</v>
      </c>
      <c r="G2">
        <v>53.235999999999997</v>
      </c>
      <c r="H2">
        <v>7.21</v>
      </c>
      <c r="I2">
        <v>0.79</v>
      </c>
      <c r="J2" s="1">
        <v>0</v>
      </c>
      <c r="K2">
        <v>9.81</v>
      </c>
    </row>
    <row r="3" spans="1:11" x14ac:dyDescent="0.35">
      <c r="A3">
        <v>50</v>
      </c>
      <c r="B3">
        <f>5.1045-5.028</f>
        <v>7.6500000000000234E-2</v>
      </c>
      <c r="C3">
        <v>20.010100000000001</v>
      </c>
      <c r="D3">
        <v>9.69</v>
      </c>
      <c r="E3">
        <v>14.14</v>
      </c>
      <c r="F3">
        <v>1384.1</v>
      </c>
      <c r="G3">
        <v>53.235999999999997</v>
      </c>
      <c r="H3">
        <v>7.21</v>
      </c>
      <c r="I3">
        <v>0.79</v>
      </c>
      <c r="J3" s="1">
        <v>0</v>
      </c>
      <c r="K3">
        <v>9.81</v>
      </c>
    </row>
    <row r="4" spans="1:11" x14ac:dyDescent="0.35">
      <c r="A4">
        <v>50</v>
      </c>
      <c r="B4">
        <v>0.08</v>
      </c>
      <c r="C4">
        <v>20.010100000000001</v>
      </c>
      <c r="D4">
        <v>6.73</v>
      </c>
      <c r="E4">
        <v>10.61</v>
      </c>
      <c r="F4">
        <v>1384.1</v>
      </c>
      <c r="G4">
        <v>53.235999999999997</v>
      </c>
      <c r="H4">
        <v>7.21</v>
      </c>
      <c r="I4">
        <v>0.79</v>
      </c>
      <c r="J4" s="1">
        <v>0</v>
      </c>
      <c r="K4">
        <v>9.81</v>
      </c>
    </row>
    <row r="5" spans="1:11" x14ac:dyDescent="0.35">
      <c r="A5">
        <v>50</v>
      </c>
      <c r="B5">
        <f>5.0543-4.9398</f>
        <v>0.1144999999999996</v>
      </c>
      <c r="C5">
        <v>20.010100000000001</v>
      </c>
      <c r="D5">
        <v>9.98</v>
      </c>
      <c r="E5">
        <v>14.98</v>
      </c>
      <c r="F5">
        <v>1384.1</v>
      </c>
      <c r="G5">
        <v>53.235999999999997</v>
      </c>
      <c r="H5">
        <v>7.21</v>
      </c>
      <c r="I5">
        <v>0.79</v>
      </c>
      <c r="J5" s="1">
        <v>0</v>
      </c>
      <c r="K5">
        <v>9.81</v>
      </c>
    </row>
    <row r="6" spans="1:11" x14ac:dyDescent="0.35">
      <c r="A6">
        <v>50</v>
      </c>
      <c r="B6">
        <f>5.0189-4.8031</f>
        <v>0.21580000000000066</v>
      </c>
      <c r="C6">
        <v>100.0247</v>
      </c>
      <c r="D6">
        <v>10.050000000000001</v>
      </c>
      <c r="E6">
        <v>14.66</v>
      </c>
      <c r="F6">
        <v>1384.1</v>
      </c>
      <c r="G6">
        <v>53.235999999999997</v>
      </c>
      <c r="H6">
        <v>7.21</v>
      </c>
      <c r="I6">
        <v>0.79</v>
      </c>
      <c r="J6" s="1">
        <v>0</v>
      </c>
      <c r="K6">
        <v>9.81</v>
      </c>
    </row>
    <row r="7" spans="1:11" x14ac:dyDescent="0.35">
      <c r="A7">
        <v>50</v>
      </c>
      <c r="B7">
        <v>0.1</v>
      </c>
      <c r="C7">
        <v>100.0247</v>
      </c>
      <c r="D7">
        <v>7.14</v>
      </c>
      <c r="E7">
        <v>16.02</v>
      </c>
      <c r="F7">
        <v>1384.1</v>
      </c>
      <c r="G7">
        <v>53.235999999999997</v>
      </c>
      <c r="H7">
        <v>7.21</v>
      </c>
      <c r="I7">
        <v>0.79</v>
      </c>
      <c r="J7" s="1">
        <v>0</v>
      </c>
      <c r="K7">
        <v>9.81</v>
      </c>
    </row>
    <row r="8" spans="1:11" x14ac:dyDescent="0.35">
      <c r="A8">
        <v>50</v>
      </c>
      <c r="B8">
        <f>5.1034-4.8082</f>
        <v>0.29519999999999946</v>
      </c>
      <c r="C8">
        <v>100.0247</v>
      </c>
      <c r="D8">
        <v>10.32</v>
      </c>
      <c r="E8">
        <v>22.3</v>
      </c>
      <c r="F8">
        <v>1384.1</v>
      </c>
      <c r="G8">
        <v>53.235999999999997</v>
      </c>
      <c r="H8">
        <v>7.21</v>
      </c>
      <c r="I8">
        <v>0.79</v>
      </c>
      <c r="J8" s="1">
        <v>0</v>
      </c>
      <c r="K8">
        <v>9.81</v>
      </c>
    </row>
    <row r="9" spans="1:11" x14ac:dyDescent="0.35">
      <c r="A9">
        <v>50</v>
      </c>
      <c r="B9">
        <v>0.1</v>
      </c>
      <c r="C9">
        <v>20.010100000000001</v>
      </c>
      <c r="D9">
        <v>11.02</v>
      </c>
      <c r="E9">
        <v>26.04</v>
      </c>
      <c r="F9">
        <v>1384.1</v>
      </c>
      <c r="G9">
        <v>53.235999999999997</v>
      </c>
      <c r="H9">
        <v>7.21</v>
      </c>
      <c r="I9">
        <v>0.79</v>
      </c>
      <c r="J9" s="1">
        <v>0</v>
      </c>
      <c r="K9">
        <v>9.81</v>
      </c>
    </row>
    <row r="10" spans="1:11" x14ac:dyDescent="0.35">
      <c r="A10">
        <v>52</v>
      </c>
      <c r="B10">
        <v>7.4999999999999997E-2</v>
      </c>
      <c r="C10">
        <v>20.010100000000001</v>
      </c>
      <c r="D10">
        <v>8.89</v>
      </c>
      <c r="E10">
        <v>13.62</v>
      </c>
      <c r="F10">
        <v>1450</v>
      </c>
      <c r="G10">
        <v>67.426000000000002</v>
      </c>
      <c r="H10">
        <v>9.15</v>
      </c>
      <c r="I10">
        <v>0.79200000000000004</v>
      </c>
      <c r="J10" s="1">
        <v>0</v>
      </c>
      <c r="K10">
        <v>9.81</v>
      </c>
    </row>
    <row r="11" spans="1:11" x14ac:dyDescent="0.35">
      <c r="A11">
        <v>52</v>
      </c>
      <c r="B11">
        <f>5.0428-4.9662</f>
        <v>7.6600000000000001E-2</v>
      </c>
      <c r="C11">
        <v>20.010100000000001</v>
      </c>
      <c r="D11">
        <v>8.77</v>
      </c>
      <c r="E11">
        <v>11.84</v>
      </c>
      <c r="F11">
        <v>1450</v>
      </c>
      <c r="G11">
        <v>67.426000000000002</v>
      </c>
      <c r="H11">
        <v>9.15</v>
      </c>
      <c r="I11">
        <v>0.79200000000000004</v>
      </c>
      <c r="J11" s="1">
        <v>0</v>
      </c>
      <c r="K11">
        <v>9.81</v>
      </c>
    </row>
    <row r="12" spans="1:11" x14ac:dyDescent="0.35">
      <c r="A12">
        <v>52</v>
      </c>
      <c r="B12">
        <v>7.4999999999999997E-2</v>
      </c>
      <c r="C12">
        <v>50.121400000000001</v>
      </c>
      <c r="D12">
        <v>8.57</v>
      </c>
      <c r="E12">
        <v>14.9</v>
      </c>
      <c r="F12">
        <v>1450</v>
      </c>
      <c r="G12">
        <v>67.426000000000002</v>
      </c>
      <c r="H12">
        <v>9.15</v>
      </c>
      <c r="I12">
        <v>0.79200000000000004</v>
      </c>
      <c r="J12" s="1">
        <v>0</v>
      </c>
      <c r="K12">
        <v>9.81</v>
      </c>
    </row>
    <row r="13" spans="1:11" x14ac:dyDescent="0.35">
      <c r="A13">
        <v>52</v>
      </c>
      <c r="B13">
        <f>4.9072-4.8363</f>
        <v>7.0899999999999963E-2</v>
      </c>
      <c r="C13">
        <v>50.121400000000001</v>
      </c>
      <c r="D13">
        <v>8.3699999999999992</v>
      </c>
      <c r="E13">
        <v>15.71</v>
      </c>
      <c r="F13">
        <v>1450</v>
      </c>
      <c r="G13">
        <v>67.426000000000002</v>
      </c>
      <c r="H13">
        <v>9.15</v>
      </c>
      <c r="I13">
        <v>0.79200000000000004</v>
      </c>
      <c r="J13" s="1">
        <v>0</v>
      </c>
      <c r="K13">
        <v>9.81</v>
      </c>
    </row>
    <row r="14" spans="1:11" x14ac:dyDescent="0.35">
      <c r="A14">
        <v>52</v>
      </c>
      <c r="B14">
        <f>5.1151-5.0227</f>
        <v>9.2399999999999594E-2</v>
      </c>
      <c r="C14">
        <v>50.121400000000001</v>
      </c>
      <c r="D14">
        <v>10.09</v>
      </c>
      <c r="E14">
        <v>16.38</v>
      </c>
      <c r="F14">
        <v>1450</v>
      </c>
      <c r="G14">
        <v>67.426000000000002</v>
      </c>
      <c r="H14">
        <v>9.15</v>
      </c>
      <c r="I14">
        <v>0.79200000000000004</v>
      </c>
      <c r="J14" s="1">
        <v>0</v>
      </c>
      <c r="K14">
        <v>9.81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Joséphine PERONNE</dc:creator>
  <cp:lastModifiedBy>Joséphine PERONNE</cp:lastModifiedBy>
  <dcterms:created xsi:type="dcterms:W3CDTF">2015-06-05T18:19:34Z</dcterms:created>
  <dcterms:modified xsi:type="dcterms:W3CDTF">2026-02-02T10:56:27Z</dcterms:modified>
</cp:coreProperties>
</file>