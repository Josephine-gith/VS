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13_ncr:1_{E2C58654-CC10-42F6-85BC-2974647E3D9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1" l="1"/>
  <c r="B11" i="1"/>
  <c r="B13" i="1"/>
  <c r="B14" i="1"/>
  <c r="B6" i="1"/>
  <c r="B5" i="1"/>
  <c r="B3" i="1"/>
  <c r="B2" i="1"/>
</calcChain>
</file>

<file path=xl/sharedStrings.xml><?xml version="1.0" encoding="utf-8"?>
<sst xmlns="http://schemas.openxmlformats.org/spreadsheetml/2006/main" count="5" uniqueCount="5">
  <si>
    <t>masse goutte</t>
  </si>
  <si>
    <t>D_0</t>
  </si>
  <si>
    <t>D_max</t>
  </si>
  <si>
    <t>masse compression</t>
  </si>
  <si>
    <t>% kaolin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</si>
</sst>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workbookViewId="0">
      <selection activeCell="I12" sqref="I12"/>
    </sheetView>
  </sheetViews>
  <sheetFormatPr baseColWidth="10" defaultColWidth="8.7265625" defaultRowHeight="14.5" x14ac:dyDescent="0.35"/>
  <cols>
    <col min="2" max="2" width="11.90625" bestFit="1" customWidth="1"/>
    <col min="3" max="3" width="11.90625" customWidth="1"/>
  </cols>
  <sheetData>
    <row r="1" spans="1:5" x14ac:dyDescent="0.35">
      <c r="A1" t="s">
        <v>4</v>
      </c>
      <c r="B1" t="s">
        <v>0</v>
      </c>
      <c r="C1" t="s">
        <v>3</v>
      </c>
      <c r="D1" t="s">
        <v>1</v>
      </c>
      <c r="E1" t="s">
        <v>2</v>
      </c>
    </row>
    <row r="2" spans="1:5" x14ac:dyDescent="0.35">
      <c r="A2">
        <v>50</v>
      </c>
      <c r="B2">
        <f>5.1073-5.0271</f>
        <v>8.0200000000000493E-2</v>
      </c>
      <c r="C2">
        <v>20.010100000000001</v>
      </c>
      <c r="D2">
        <v>9.83</v>
      </c>
      <c r="E2">
        <v>15.82</v>
      </c>
    </row>
    <row r="3" spans="1:5" x14ac:dyDescent="0.35">
      <c r="A3">
        <v>50</v>
      </c>
      <c r="B3">
        <f>5.1045-5.028</f>
        <v>7.6500000000000234E-2</v>
      </c>
      <c r="C3">
        <v>20.010100000000001</v>
      </c>
      <c r="D3">
        <v>9.69</v>
      </c>
      <c r="E3">
        <v>14.14</v>
      </c>
    </row>
    <row r="4" spans="1:5" x14ac:dyDescent="0.35">
      <c r="A4">
        <v>50</v>
      </c>
      <c r="C4">
        <v>20.010100000000001</v>
      </c>
      <c r="D4">
        <v>6.73</v>
      </c>
      <c r="E4">
        <v>10.61</v>
      </c>
    </row>
    <row r="5" spans="1:5" x14ac:dyDescent="0.35">
      <c r="A5">
        <v>50</v>
      </c>
      <c r="B5">
        <f>5.0543-4.9398</f>
        <v>0.1144999999999996</v>
      </c>
      <c r="C5">
        <v>20.010100000000001</v>
      </c>
      <c r="D5">
        <v>9.98</v>
      </c>
      <c r="E5">
        <v>14.98</v>
      </c>
    </row>
    <row r="6" spans="1:5" x14ac:dyDescent="0.35">
      <c r="A6">
        <v>50</v>
      </c>
      <c r="B6">
        <f>5.0189-4.8031</f>
        <v>0.21580000000000066</v>
      </c>
      <c r="C6">
        <v>100.0247</v>
      </c>
      <c r="D6">
        <v>10.050000000000001</v>
      </c>
      <c r="E6">
        <v>14.66</v>
      </c>
    </row>
    <row r="7" spans="1:5" x14ac:dyDescent="0.35">
      <c r="A7">
        <v>50</v>
      </c>
      <c r="C7">
        <v>100.0247</v>
      </c>
      <c r="D7">
        <v>7.14</v>
      </c>
      <c r="E7">
        <v>16.02</v>
      </c>
    </row>
    <row r="8" spans="1:5" x14ac:dyDescent="0.35">
      <c r="A8">
        <v>50</v>
      </c>
      <c r="B8">
        <f>5.1034-4.8082</f>
        <v>0.29519999999999946</v>
      </c>
      <c r="C8">
        <v>100.0247</v>
      </c>
      <c r="D8">
        <v>10.32</v>
      </c>
      <c r="E8">
        <v>22.3</v>
      </c>
    </row>
    <row r="9" spans="1:5" x14ac:dyDescent="0.35">
      <c r="A9">
        <v>50</v>
      </c>
      <c r="C9">
        <v>20.010100000000001</v>
      </c>
      <c r="D9">
        <v>11.02</v>
      </c>
      <c r="E9">
        <v>26.04</v>
      </c>
    </row>
    <row r="10" spans="1:5" x14ac:dyDescent="0.35">
      <c r="A10">
        <v>52</v>
      </c>
      <c r="B10" s="1"/>
      <c r="C10">
        <v>20.010100000000001</v>
      </c>
      <c r="D10">
        <v>8.89</v>
      </c>
      <c r="E10">
        <v>13.62</v>
      </c>
    </row>
    <row r="11" spans="1:5" x14ac:dyDescent="0.35">
      <c r="A11">
        <v>52</v>
      </c>
      <c r="B11">
        <f>5.0428-4.9662</f>
        <v>7.6600000000000001E-2</v>
      </c>
      <c r="C11">
        <v>20.010100000000001</v>
      </c>
      <c r="D11">
        <v>8.77</v>
      </c>
      <c r="E11">
        <v>11.84</v>
      </c>
    </row>
    <row r="12" spans="1:5" x14ac:dyDescent="0.35">
      <c r="A12">
        <v>52</v>
      </c>
      <c r="C12">
        <v>50.121400000000001</v>
      </c>
      <c r="D12">
        <v>8.57</v>
      </c>
      <c r="E12">
        <v>14.9</v>
      </c>
    </row>
    <row r="13" spans="1:5" x14ac:dyDescent="0.35">
      <c r="A13">
        <v>52</v>
      </c>
      <c r="B13">
        <f>4.9072-4.8363</f>
        <v>7.0899999999999963E-2</v>
      </c>
      <c r="C13">
        <v>50.121400000000001</v>
      </c>
      <c r="D13">
        <v>8.3699999999999992</v>
      </c>
      <c r="E13">
        <v>15.71</v>
      </c>
    </row>
    <row r="14" spans="1:5" x14ac:dyDescent="0.35">
      <c r="A14">
        <v>52</v>
      </c>
      <c r="B14">
        <f>5.1151-5.0227</f>
        <v>9.2399999999999594E-2</v>
      </c>
      <c r="C14">
        <v>50.121400000000001</v>
      </c>
      <c r="D14">
        <v>10.09</v>
      </c>
      <c r="E14">
        <v>16.38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2015-06-05T18:19:34Z</dcterms:created>
  <dcterms:modified xsi:type="dcterms:W3CDTF">2026-01-29T13:20:41Z</dcterms:modified>
</cp:coreProperties>
</file>