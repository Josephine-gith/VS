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Mines IC\TR Fluide\VS\Experiences\"/>
    </mc:Choice>
  </mc:AlternateContent>
  <xr:revisionPtr revIDLastSave="0" documentId="13_ncr:1_{C6048DF0-3A06-4443-A1FD-8EDD4BB99F9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euil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" i="1" l="1"/>
  <c r="B13" i="1"/>
  <c r="B12" i="1"/>
  <c r="B11" i="1"/>
  <c r="B10" i="1"/>
  <c r="B9" i="1"/>
  <c r="B8" i="1"/>
  <c r="B7" i="1"/>
  <c r="B6" i="1"/>
  <c r="B4" i="1"/>
  <c r="B5" i="1"/>
  <c r="B3" i="1"/>
  <c r="B2" i="1"/>
</calcChain>
</file>

<file path=xl/sharedStrings.xml><?xml version="1.0" encoding="utf-8"?>
<sst xmlns="http://schemas.openxmlformats.org/spreadsheetml/2006/main" count="11" uniqueCount="11">
  <si>
    <t>% kaolin</t>
  </si>
  <si>
    <t>k</t>
  </si>
  <si>
    <t>m [kg]</t>
  </si>
  <si>
    <t>M [kg]</t>
  </si>
  <si>
    <t>D_0 [mm]</t>
  </si>
  <si>
    <t>D_max [mm]</t>
  </si>
  <si>
    <t>rho [kg/m3]</t>
  </si>
  <si>
    <t>tau0</t>
  </si>
  <si>
    <t>m</t>
  </si>
  <si>
    <t>G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</si>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</sst>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"/>
  <sheetViews>
    <sheetView tabSelected="1" workbookViewId="0">
      <selection activeCell="C18" sqref="C18"/>
    </sheetView>
  </sheetViews>
  <sheetFormatPr baseColWidth="10" defaultColWidth="8.7265625" defaultRowHeight="14.5" x14ac:dyDescent="0.35"/>
  <cols>
    <col min="1" max="1" width="8.7265625" style="1"/>
    <col min="2" max="2" width="8.81640625" style="1" customWidth="1"/>
    <col min="3" max="3" width="10" style="1" customWidth="1"/>
    <col min="4" max="4" width="8.7265625" style="1"/>
    <col min="5" max="5" width="11.6328125" style="1" bestFit="1" customWidth="1"/>
    <col min="6" max="6" width="10.7265625" style="1" bestFit="1" customWidth="1"/>
    <col min="7" max="9" width="8.7265625" style="1"/>
    <col min="10" max="10" width="8.26953125" style="1" bestFit="1" customWidth="1"/>
    <col min="11" max="11" width="8.90625" style="1" customWidth="1"/>
    <col min="12" max="16384" width="8.7265625" style="1"/>
  </cols>
  <sheetData>
    <row r="1" spans="1:11" x14ac:dyDescent="0.3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1</v>
      </c>
      <c r="I1" s="1" t="s">
        <v>8</v>
      </c>
      <c r="J1" s="1" t="s">
        <v>9</v>
      </c>
      <c r="K1" s="1" t="s">
        <v>10</v>
      </c>
    </row>
    <row r="2" spans="1:11" x14ac:dyDescent="0.35">
      <c r="A2" s="2">
        <v>50</v>
      </c>
      <c r="B2" s="1">
        <f>(5.1073-5.0271)*0.001</f>
        <v>8.0200000000000499E-5</v>
      </c>
      <c r="C2" s="1">
        <v>2.0010099999999999E-2</v>
      </c>
      <c r="D2" s="2">
        <v>9.83</v>
      </c>
      <c r="E2" s="2">
        <v>15.82</v>
      </c>
      <c r="F2" s="1">
        <v>1384.1</v>
      </c>
      <c r="G2" s="1">
        <v>50.476999999999997</v>
      </c>
      <c r="H2" s="1">
        <v>7.68</v>
      </c>
      <c r="I2" s="1">
        <v>0.79</v>
      </c>
      <c r="J2" s="1">
        <v>0</v>
      </c>
      <c r="K2" s="1">
        <v>9.81</v>
      </c>
    </row>
    <row r="3" spans="1:11" x14ac:dyDescent="0.35">
      <c r="A3" s="2">
        <v>50</v>
      </c>
      <c r="B3" s="1">
        <f>(5.1045-5.028)*0.001</f>
        <v>7.6500000000000233E-5</v>
      </c>
      <c r="C3" s="1">
        <v>2.0010099999999999E-2</v>
      </c>
      <c r="D3" s="2">
        <v>9.69</v>
      </c>
      <c r="E3" s="2">
        <v>14.14</v>
      </c>
      <c r="F3" s="1">
        <v>1384.1</v>
      </c>
      <c r="G3" s="1">
        <v>50.476999999999997</v>
      </c>
      <c r="H3" s="1">
        <v>7.68</v>
      </c>
      <c r="I3" s="1">
        <v>0.79</v>
      </c>
      <c r="J3" s="1">
        <v>0</v>
      </c>
      <c r="K3" s="1">
        <v>9.81</v>
      </c>
    </row>
    <row r="4" spans="1:11" x14ac:dyDescent="0.35">
      <c r="A4" s="2">
        <v>50</v>
      </c>
      <c r="B4" s="1">
        <f>0.08*0.001</f>
        <v>8.0000000000000007E-5</v>
      </c>
      <c r="C4" s="1">
        <v>2.0010099999999999E-2</v>
      </c>
      <c r="D4" s="2">
        <v>6.73</v>
      </c>
      <c r="E4" s="2">
        <v>10.61</v>
      </c>
      <c r="F4" s="1">
        <v>1384.1</v>
      </c>
      <c r="G4" s="1">
        <v>50.476999999999997</v>
      </c>
      <c r="H4" s="1">
        <v>7.68</v>
      </c>
      <c r="I4" s="1">
        <v>0.79</v>
      </c>
      <c r="J4" s="1">
        <v>0</v>
      </c>
      <c r="K4" s="1">
        <v>9.81</v>
      </c>
    </row>
    <row r="5" spans="1:11" x14ac:dyDescent="0.35">
      <c r="A5" s="2">
        <v>50</v>
      </c>
      <c r="B5" s="1">
        <f>(5.0543-4.9398)*0.001</f>
        <v>1.144999999999996E-4</v>
      </c>
      <c r="C5" s="1">
        <v>2.0010099999999999E-2</v>
      </c>
      <c r="D5" s="2">
        <v>9.98</v>
      </c>
      <c r="E5" s="2">
        <v>14.98</v>
      </c>
      <c r="F5" s="1">
        <v>1384.1</v>
      </c>
      <c r="G5" s="1">
        <v>50.476999999999997</v>
      </c>
      <c r="H5" s="1">
        <v>7.68</v>
      </c>
      <c r="I5" s="1">
        <v>0.79</v>
      </c>
      <c r="J5" s="1">
        <v>0</v>
      </c>
      <c r="K5" s="1">
        <v>9.81</v>
      </c>
    </row>
    <row r="6" spans="1:11" x14ac:dyDescent="0.35">
      <c r="A6" s="2">
        <v>50</v>
      </c>
      <c r="B6" s="1">
        <f>(5.0189-4.8031)*0.001</f>
        <v>2.1580000000000066E-4</v>
      </c>
      <c r="C6" s="1">
        <v>0.10002469999999999</v>
      </c>
      <c r="D6" s="2">
        <v>10.050000000000001</v>
      </c>
      <c r="E6" s="2">
        <v>14.66</v>
      </c>
      <c r="F6" s="1">
        <v>1384.1</v>
      </c>
      <c r="G6" s="1">
        <v>50.476999999999997</v>
      </c>
      <c r="H6" s="1">
        <v>7.68</v>
      </c>
      <c r="I6" s="1">
        <v>0.79</v>
      </c>
      <c r="J6" s="1">
        <v>0</v>
      </c>
      <c r="K6" s="1">
        <v>9.81</v>
      </c>
    </row>
    <row r="7" spans="1:11" x14ac:dyDescent="0.35">
      <c r="A7" s="2">
        <v>50</v>
      </c>
      <c r="B7" s="1">
        <f>0.1*0.001</f>
        <v>1E-4</v>
      </c>
      <c r="C7" s="1">
        <v>0.10002469999999999</v>
      </c>
      <c r="D7" s="2">
        <v>7.14</v>
      </c>
      <c r="E7" s="2">
        <v>16.02</v>
      </c>
      <c r="F7" s="1">
        <v>1384.1</v>
      </c>
      <c r="G7" s="1">
        <v>50.476999999999997</v>
      </c>
      <c r="H7" s="1">
        <v>7.68</v>
      </c>
      <c r="I7" s="1">
        <v>0.79</v>
      </c>
      <c r="J7" s="1">
        <v>0</v>
      </c>
      <c r="K7" s="1">
        <v>9.81</v>
      </c>
    </row>
    <row r="8" spans="1:11" x14ac:dyDescent="0.35">
      <c r="A8" s="2">
        <v>50</v>
      </c>
      <c r="B8" s="1">
        <f>(5.1034-4.8082)*0.001</f>
        <v>2.9519999999999948E-4</v>
      </c>
      <c r="C8" s="1">
        <v>0.10002469999999999</v>
      </c>
      <c r="D8" s="2">
        <v>10.32</v>
      </c>
      <c r="E8" s="2">
        <v>22.3</v>
      </c>
      <c r="F8" s="1">
        <v>1384.1</v>
      </c>
      <c r="G8" s="1">
        <v>50.476999999999997</v>
      </c>
      <c r="H8" s="1">
        <v>7.68</v>
      </c>
      <c r="I8" s="1">
        <v>0.79</v>
      </c>
      <c r="J8" s="1">
        <v>0</v>
      </c>
      <c r="K8" s="1">
        <v>9.81</v>
      </c>
    </row>
    <row r="9" spans="1:11" x14ac:dyDescent="0.35">
      <c r="A9" s="2">
        <v>50</v>
      </c>
      <c r="B9" s="1">
        <f>0.1*0.001</f>
        <v>1E-4</v>
      </c>
      <c r="C9" s="1">
        <v>2.0010099999999999E-2</v>
      </c>
      <c r="D9" s="2">
        <v>11.02</v>
      </c>
      <c r="E9" s="2">
        <v>26.04</v>
      </c>
      <c r="F9" s="1">
        <v>1384.1</v>
      </c>
      <c r="G9" s="1">
        <v>50.476999999999997</v>
      </c>
      <c r="H9" s="1">
        <v>7.68</v>
      </c>
      <c r="I9" s="1">
        <v>0.79</v>
      </c>
      <c r="J9" s="1">
        <v>0</v>
      </c>
      <c r="K9" s="1">
        <v>9.81</v>
      </c>
    </row>
    <row r="10" spans="1:11" x14ac:dyDescent="0.35">
      <c r="A10" s="2">
        <v>52</v>
      </c>
      <c r="B10" s="1">
        <f>0.075*0.001</f>
        <v>7.4999999999999993E-5</v>
      </c>
      <c r="C10" s="1">
        <v>2.0010099999999999E-2</v>
      </c>
      <c r="D10" s="2">
        <v>8.89</v>
      </c>
      <c r="E10" s="2">
        <v>13.62</v>
      </c>
      <c r="F10" s="1">
        <v>1450</v>
      </c>
      <c r="G10" s="1">
        <v>66.567999999999998</v>
      </c>
      <c r="H10" s="1">
        <v>9.86</v>
      </c>
      <c r="I10" s="1">
        <v>0.78800000000000003</v>
      </c>
      <c r="J10" s="1">
        <v>0</v>
      </c>
      <c r="K10" s="1">
        <v>9.81</v>
      </c>
    </row>
    <row r="11" spans="1:11" x14ac:dyDescent="0.35">
      <c r="A11" s="2">
        <v>52</v>
      </c>
      <c r="B11" s="1">
        <f>(5.0428-4.9662)*0.001</f>
        <v>7.6600000000000005E-5</v>
      </c>
      <c r="C11" s="1">
        <v>2.0010099999999999E-2</v>
      </c>
      <c r="D11" s="2">
        <v>8.77</v>
      </c>
      <c r="E11" s="2">
        <v>11.84</v>
      </c>
      <c r="F11" s="1">
        <v>1450</v>
      </c>
      <c r="G11" s="1">
        <v>66.567999999999998</v>
      </c>
      <c r="H11" s="1">
        <v>9.86</v>
      </c>
      <c r="I11" s="1">
        <v>0.78800000000000003</v>
      </c>
      <c r="J11" s="1">
        <v>0</v>
      </c>
      <c r="K11" s="1">
        <v>9.81</v>
      </c>
    </row>
    <row r="12" spans="1:11" x14ac:dyDescent="0.35">
      <c r="A12" s="2">
        <v>52</v>
      </c>
      <c r="B12" s="1">
        <f>0.075*0.001</f>
        <v>7.4999999999999993E-5</v>
      </c>
      <c r="C12" s="1">
        <v>5.0121400000000003E-2</v>
      </c>
      <c r="D12" s="2">
        <v>8.57</v>
      </c>
      <c r="E12" s="2">
        <v>14.9</v>
      </c>
      <c r="F12" s="1">
        <v>1450</v>
      </c>
      <c r="G12" s="1">
        <v>66.567999999999998</v>
      </c>
      <c r="H12" s="1">
        <v>9.86</v>
      </c>
      <c r="I12" s="1">
        <v>0.78800000000000003</v>
      </c>
      <c r="J12" s="1">
        <v>0</v>
      </c>
      <c r="K12" s="1">
        <v>9.81</v>
      </c>
    </row>
    <row r="13" spans="1:11" x14ac:dyDescent="0.35">
      <c r="A13" s="2">
        <v>52</v>
      </c>
      <c r="B13" s="1">
        <f>(4.9072-4.8363)*0.001</f>
        <v>7.0899999999999962E-5</v>
      </c>
      <c r="C13" s="1">
        <v>5.0121400000000003E-2</v>
      </c>
      <c r="D13" s="2">
        <v>8.3699999999999992</v>
      </c>
      <c r="E13" s="2">
        <v>15.71</v>
      </c>
      <c r="F13" s="1">
        <v>1450</v>
      </c>
      <c r="G13" s="1">
        <v>66.567999999999998</v>
      </c>
      <c r="H13" s="1">
        <v>9.86</v>
      </c>
      <c r="I13" s="1">
        <v>0.78800000000000003</v>
      </c>
      <c r="J13" s="1">
        <v>0</v>
      </c>
      <c r="K13" s="1">
        <v>9.81</v>
      </c>
    </row>
    <row r="14" spans="1:11" x14ac:dyDescent="0.35">
      <c r="A14" s="2">
        <v>52</v>
      </c>
      <c r="B14" s="1">
        <f>(5.1151-5.0227)*0.001</f>
        <v>9.239999999999959E-5</v>
      </c>
      <c r="C14" s="1">
        <v>5.0121400000000003E-2</v>
      </c>
      <c r="D14" s="2">
        <v>10.09</v>
      </c>
      <c r="E14" s="2">
        <v>16.38</v>
      </c>
      <c r="F14" s="1">
        <v>1450</v>
      </c>
      <c r="G14" s="1">
        <v>66.567999999999998</v>
      </c>
      <c r="H14" s="1">
        <v>9.86</v>
      </c>
      <c r="I14" s="1">
        <v>0.78800000000000003</v>
      </c>
      <c r="J14" s="1">
        <v>0</v>
      </c>
      <c r="K14" s="1">
        <v>9.81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Joséphine PERONNE</dc:creator>
  <cp:lastModifiedBy>Joséphine PERONNE</cp:lastModifiedBy>
  <dcterms:created xsi:type="dcterms:W3CDTF">2015-06-05T18:19:34Z</dcterms:created>
  <dcterms:modified xsi:type="dcterms:W3CDTF">2026-02-04T10:57:29Z</dcterms:modified>
</cp:coreProperties>
</file>