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45F1F691-0B8F-4B39-929D-32C30317A6FE}" xr6:coauthVersionLast="47" xr6:coauthVersionMax="47" xr10:uidLastSave="{00000000-0000-0000-0000-000000000000}"/>
  <bookViews>
    <workbookView xWindow="9250" yWindow="330" windowWidth="10650" windowHeight="9490" xr2:uid="{3E843BFB-0A06-4C09-808D-F466BA1F89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B34" i="1"/>
  <c r="B17" i="1"/>
  <c r="C17" i="1" s="1"/>
  <c r="C22" i="1"/>
  <c r="C23" i="1"/>
  <c r="C24" i="1"/>
  <c r="C31" i="1"/>
  <c r="C32" i="1"/>
  <c r="C33" i="1"/>
  <c r="C21" i="1"/>
  <c r="C20" i="1"/>
  <c r="B33" i="1"/>
  <c r="B32" i="1"/>
  <c r="B31" i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16" i="1"/>
  <c r="B15" i="1"/>
  <c r="B14" i="1"/>
  <c r="B13" i="1"/>
  <c r="B12" i="1"/>
  <c r="B11" i="1"/>
  <c r="B10" i="1"/>
  <c r="B9" i="1"/>
  <c r="B8" i="1"/>
  <c r="B6" i="1"/>
  <c r="B5" i="1"/>
  <c r="B3" i="1"/>
  <c r="B2" i="1"/>
  <c r="C4" i="1" s="1"/>
  <c r="C13" i="1" l="1"/>
  <c r="C3" i="1"/>
  <c r="C6" i="1"/>
  <c r="C15" i="1"/>
  <c r="C5" i="1"/>
  <c r="C14" i="1"/>
  <c r="C16" i="1"/>
  <c r="C8" i="1"/>
  <c r="C9" i="1"/>
  <c r="C10" i="1"/>
  <c r="C11" i="1"/>
  <c r="C12" i="1"/>
  <c r="C7" i="1"/>
</calcChain>
</file>

<file path=xl/sharedStrings.xml><?xml version="1.0" encoding="utf-8"?>
<sst xmlns="http://schemas.openxmlformats.org/spreadsheetml/2006/main" count="12" uniqueCount="12">
  <si>
    <t>heure</t>
  </si>
  <si>
    <t>t [min]</t>
  </si>
  <si>
    <t>D [mm]</t>
  </si>
  <si>
    <t>série</t>
  </si>
  <si>
    <t>m [kg]</t>
  </si>
  <si>
    <t>M [kg]</t>
  </si>
  <si>
    <t>rho [kg/m3]</t>
  </si>
  <si>
    <t>tau0</t>
  </si>
  <si>
    <t>k</t>
  </si>
  <si>
    <t>m</t>
  </si>
  <si>
    <t>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</si>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</sst>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Série1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Feuil1!$C$2:$C$19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14</c:v>
                </c:pt>
                <c:pt idx="8">
                  <c:v>17</c:v>
                </c:pt>
                <c:pt idx="9">
                  <c:v>24</c:v>
                </c:pt>
                <c:pt idx="10">
                  <c:v>28</c:v>
                </c:pt>
                <c:pt idx="11">
                  <c:v>41</c:v>
                </c:pt>
                <c:pt idx="12">
                  <c:v>98</c:v>
                </c:pt>
                <c:pt idx="13">
                  <c:v>213</c:v>
                </c:pt>
                <c:pt idx="14">
                  <c:v>281</c:v>
                </c:pt>
                <c:pt idx="15">
                  <c:v>379</c:v>
                </c:pt>
              </c:numCache>
            </c:numRef>
          </c:xVal>
          <c:yVal>
            <c:numRef>
              <c:f>Feuil1!$D$2:$D$19</c:f>
              <c:numCache>
                <c:formatCode>General</c:formatCode>
                <c:ptCount val="18"/>
                <c:pt idx="0">
                  <c:v>10.44</c:v>
                </c:pt>
                <c:pt idx="1">
                  <c:v>15.12</c:v>
                </c:pt>
                <c:pt idx="2">
                  <c:v>16.54</c:v>
                </c:pt>
                <c:pt idx="3">
                  <c:v>18.52</c:v>
                </c:pt>
                <c:pt idx="4">
                  <c:v>19.14</c:v>
                </c:pt>
                <c:pt idx="5">
                  <c:v>19.43</c:v>
                </c:pt>
                <c:pt idx="6">
                  <c:v>19.899999999999999</c:v>
                </c:pt>
                <c:pt idx="7">
                  <c:v>20.190000000000001</c:v>
                </c:pt>
                <c:pt idx="8">
                  <c:v>20.55</c:v>
                </c:pt>
                <c:pt idx="9">
                  <c:v>20.89</c:v>
                </c:pt>
                <c:pt idx="10">
                  <c:v>20.96</c:v>
                </c:pt>
                <c:pt idx="11">
                  <c:v>21.02</c:v>
                </c:pt>
                <c:pt idx="12">
                  <c:v>21.61</c:v>
                </c:pt>
                <c:pt idx="13">
                  <c:v>21.62</c:v>
                </c:pt>
                <c:pt idx="14">
                  <c:v>21.99</c:v>
                </c:pt>
                <c:pt idx="15">
                  <c:v>22.48</c:v>
                </c:pt>
                <c:pt idx="16">
                  <c:v>22.73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E-42A2-969B-9C32BB339B5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Feuil1!$C$20:$C$36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13</c:v>
                </c:pt>
                <c:pt idx="8">
                  <c:v>20</c:v>
                </c:pt>
                <c:pt idx="9">
                  <c:v>24</c:v>
                </c:pt>
                <c:pt idx="10">
                  <c:v>37</c:v>
                </c:pt>
                <c:pt idx="11">
                  <c:v>94</c:v>
                </c:pt>
                <c:pt idx="12">
                  <c:v>209</c:v>
                </c:pt>
                <c:pt idx="13">
                  <c:v>277</c:v>
                </c:pt>
                <c:pt idx="14">
                  <c:v>375</c:v>
                </c:pt>
              </c:numCache>
            </c:numRef>
          </c:xVal>
          <c:yVal>
            <c:numRef>
              <c:f>Feuil1!$D$20:$D$36</c:f>
              <c:numCache>
                <c:formatCode>General</c:formatCode>
                <c:ptCount val="17"/>
                <c:pt idx="0">
                  <c:v>9.6</c:v>
                </c:pt>
                <c:pt idx="1">
                  <c:v>15.24</c:v>
                </c:pt>
                <c:pt idx="2">
                  <c:v>16.399999999999999</c:v>
                </c:pt>
                <c:pt idx="3">
                  <c:v>17.399999999999999</c:v>
                </c:pt>
                <c:pt idx="4">
                  <c:v>18.27</c:v>
                </c:pt>
                <c:pt idx="5">
                  <c:v>19.5</c:v>
                </c:pt>
                <c:pt idx="6">
                  <c:v>20</c:v>
                </c:pt>
                <c:pt idx="7">
                  <c:v>20.48</c:v>
                </c:pt>
                <c:pt idx="8">
                  <c:v>21.04</c:v>
                </c:pt>
                <c:pt idx="9">
                  <c:v>21.48</c:v>
                </c:pt>
                <c:pt idx="10">
                  <c:v>21.99</c:v>
                </c:pt>
                <c:pt idx="11">
                  <c:v>22.56</c:v>
                </c:pt>
                <c:pt idx="12">
                  <c:v>22.8</c:v>
                </c:pt>
                <c:pt idx="13">
                  <c:v>22.91</c:v>
                </c:pt>
                <c:pt idx="14">
                  <c:v>23.87</c:v>
                </c:pt>
                <c:pt idx="15">
                  <c:v>24.32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9E-42A2-969B-9C32BB339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96128"/>
        <c:axId val="428396848"/>
      </c:scatterChart>
      <c:valAx>
        <c:axId val="42839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396848"/>
        <c:crosses val="autoZero"/>
        <c:crossBetween val="midCat"/>
      </c:valAx>
      <c:valAx>
        <c:axId val="4283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839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155574</xdr:colOff>
      <xdr:row>3</xdr:row>
      <xdr:rowOff>114300</xdr:rowOff>
    </xdr:from>
    <xdr:to>
      <xdr:col>11</xdr:col>
      <xdr:colOff>402167</xdr:colOff>
      <xdr:row>20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EACBCC-186F-AA3E-1699-0BE8BB546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0B59-225F-4E4B-B8EF-3188DB3D59F6}">
  <dimension ref="A1:L35"/>
  <sheetViews>
    <sheetView tabSelected="1" topLeftCell="A22" zoomScale="99" workbookViewId="0">
      <selection activeCell="D36" sqref="D36"/>
    </sheetView>
  </sheetViews>
  <sheetFormatPr baseColWidth="10" defaultRowHeight="14.5" x14ac:dyDescent="0.35"/>
  <sheetData>
    <row r="1" spans="1:12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f>9*60+34</f>
        <v>574</v>
      </c>
      <c r="C2">
        <v>0</v>
      </c>
      <c r="D2">
        <v>10.44</v>
      </c>
      <c r="E2" s="1">
        <v>9.5000000000000005E-5</v>
      </c>
      <c r="F2" s="1">
        <v>0.05</v>
      </c>
      <c r="G2" s="1">
        <v>1270</v>
      </c>
      <c r="H2">
        <v>15</v>
      </c>
      <c r="I2">
        <v>90</v>
      </c>
      <c r="J2">
        <v>0.4</v>
      </c>
      <c r="K2">
        <v>907</v>
      </c>
      <c r="L2">
        <v>9.81</v>
      </c>
    </row>
    <row r="3" spans="1:12" x14ac:dyDescent="0.35">
      <c r="A3">
        <v>1</v>
      </c>
      <c r="B3">
        <f>9*60+35</f>
        <v>575</v>
      </c>
      <c r="C3">
        <f>B3-$B$2</f>
        <v>1</v>
      </c>
      <c r="D3">
        <v>15.12</v>
      </c>
      <c r="E3" s="1">
        <v>9.5000000000000005E-5</v>
      </c>
      <c r="F3" s="1">
        <v>0.05</v>
      </c>
      <c r="G3" s="1">
        <v>1270</v>
      </c>
      <c r="H3">
        <v>15</v>
      </c>
      <c r="I3">
        <v>90</v>
      </c>
      <c r="J3">
        <v>0.4</v>
      </c>
      <c r="K3">
        <v>907</v>
      </c>
      <c r="L3">
        <v>9.81</v>
      </c>
    </row>
    <row r="4" spans="1:12" x14ac:dyDescent="0.35">
      <c r="A4">
        <v>1</v>
      </c>
      <c r="B4">
        <v>576</v>
      </c>
      <c r="C4">
        <f t="shared" ref="C4:C17" si="0">B4-$B$2</f>
        <v>2</v>
      </c>
      <c r="D4">
        <v>16.54</v>
      </c>
      <c r="E4" s="1">
        <v>9.5000000000000005E-5</v>
      </c>
      <c r="F4" s="1">
        <v>0.05</v>
      </c>
      <c r="G4" s="1">
        <v>1270</v>
      </c>
      <c r="H4">
        <v>15</v>
      </c>
      <c r="I4">
        <v>90</v>
      </c>
      <c r="J4">
        <v>0.4</v>
      </c>
      <c r="K4">
        <v>907</v>
      </c>
      <c r="L4">
        <v>9.81</v>
      </c>
    </row>
    <row r="5" spans="1:12" x14ac:dyDescent="0.35">
      <c r="A5">
        <v>1</v>
      </c>
      <c r="B5">
        <f>9*60+39</f>
        <v>579</v>
      </c>
      <c r="C5">
        <f t="shared" si="0"/>
        <v>5</v>
      </c>
      <c r="D5">
        <v>18.52</v>
      </c>
      <c r="E5" s="1">
        <v>9.5000000000000005E-5</v>
      </c>
      <c r="F5" s="1">
        <v>0.05</v>
      </c>
      <c r="G5" s="1">
        <v>1270</v>
      </c>
      <c r="H5">
        <v>15</v>
      </c>
      <c r="I5">
        <v>90</v>
      </c>
      <c r="J5">
        <v>0.4</v>
      </c>
      <c r="K5">
        <v>907</v>
      </c>
      <c r="L5">
        <v>9.81</v>
      </c>
    </row>
    <row r="6" spans="1:12" x14ac:dyDescent="0.35">
      <c r="A6">
        <v>1</v>
      </c>
      <c r="B6">
        <f>9*60+40</f>
        <v>580</v>
      </c>
      <c r="C6">
        <f t="shared" si="0"/>
        <v>6</v>
      </c>
      <c r="D6">
        <v>19.14</v>
      </c>
      <c r="E6" s="1">
        <v>9.5000000000000005E-5</v>
      </c>
      <c r="F6" s="1">
        <v>0.05</v>
      </c>
      <c r="G6" s="1">
        <v>1270</v>
      </c>
      <c r="H6">
        <v>15</v>
      </c>
      <c r="I6">
        <v>90</v>
      </c>
      <c r="J6">
        <v>0.4</v>
      </c>
      <c r="K6">
        <v>907</v>
      </c>
      <c r="L6">
        <v>9.81</v>
      </c>
    </row>
    <row r="7" spans="1:12" x14ac:dyDescent="0.35">
      <c r="A7">
        <v>1</v>
      </c>
      <c r="B7">
        <v>581</v>
      </c>
      <c r="C7">
        <f t="shared" si="0"/>
        <v>7</v>
      </c>
      <c r="D7">
        <v>19.43</v>
      </c>
      <c r="E7" s="1">
        <v>9.5000000000000005E-5</v>
      </c>
      <c r="F7" s="1">
        <v>0.05</v>
      </c>
      <c r="G7" s="1">
        <v>1270</v>
      </c>
      <c r="H7">
        <v>15</v>
      </c>
      <c r="I7">
        <v>90</v>
      </c>
      <c r="J7">
        <v>0.4</v>
      </c>
      <c r="K7">
        <v>907</v>
      </c>
      <c r="L7">
        <v>9.81</v>
      </c>
    </row>
    <row r="8" spans="1:12" x14ac:dyDescent="0.35">
      <c r="A8">
        <v>1</v>
      </c>
      <c r="B8">
        <f>9*60+44</f>
        <v>584</v>
      </c>
      <c r="C8">
        <f t="shared" si="0"/>
        <v>10</v>
      </c>
      <c r="D8">
        <v>19.899999999999999</v>
      </c>
      <c r="E8" s="1">
        <v>9.5000000000000005E-5</v>
      </c>
      <c r="F8" s="1">
        <v>0.05</v>
      </c>
      <c r="G8" s="1">
        <v>1270</v>
      </c>
      <c r="H8">
        <v>15</v>
      </c>
      <c r="I8">
        <v>90</v>
      </c>
      <c r="J8">
        <v>0.4</v>
      </c>
      <c r="K8">
        <v>907</v>
      </c>
      <c r="L8">
        <v>9.81</v>
      </c>
    </row>
    <row r="9" spans="1:12" x14ac:dyDescent="0.35">
      <c r="A9">
        <v>1</v>
      </c>
      <c r="B9">
        <f>9*60+48</f>
        <v>588</v>
      </c>
      <c r="C9">
        <f t="shared" si="0"/>
        <v>14</v>
      </c>
      <c r="D9">
        <v>20.190000000000001</v>
      </c>
      <c r="E9" s="1">
        <v>9.5000000000000005E-5</v>
      </c>
      <c r="F9" s="1">
        <v>0.05</v>
      </c>
      <c r="G9" s="1">
        <v>1270</v>
      </c>
      <c r="H9">
        <v>15</v>
      </c>
      <c r="I9">
        <v>90</v>
      </c>
      <c r="J9">
        <v>0.4</v>
      </c>
      <c r="K9">
        <v>907</v>
      </c>
      <c r="L9">
        <v>9.81</v>
      </c>
    </row>
    <row r="10" spans="1:12" x14ac:dyDescent="0.35">
      <c r="A10">
        <v>1</v>
      </c>
      <c r="B10">
        <f>9*60+51</f>
        <v>591</v>
      </c>
      <c r="C10">
        <f t="shared" si="0"/>
        <v>17</v>
      </c>
      <c r="D10">
        <v>20.55</v>
      </c>
      <c r="E10" s="1">
        <v>9.5000000000000005E-5</v>
      </c>
      <c r="F10" s="1">
        <v>0.05</v>
      </c>
      <c r="G10" s="1">
        <v>1270</v>
      </c>
      <c r="H10">
        <v>15</v>
      </c>
      <c r="I10">
        <v>90</v>
      </c>
      <c r="J10">
        <v>0.4</v>
      </c>
      <c r="K10">
        <v>907</v>
      </c>
      <c r="L10">
        <v>9.81</v>
      </c>
    </row>
    <row r="11" spans="1:12" x14ac:dyDescent="0.35">
      <c r="A11">
        <v>1</v>
      </c>
      <c r="B11">
        <f>9*60+58</f>
        <v>598</v>
      </c>
      <c r="C11">
        <f t="shared" si="0"/>
        <v>24</v>
      </c>
      <c r="D11">
        <v>20.89</v>
      </c>
      <c r="E11" s="1">
        <v>9.5000000000000005E-5</v>
      </c>
      <c r="F11" s="1">
        <v>0.05</v>
      </c>
      <c r="G11" s="1">
        <v>1270</v>
      </c>
      <c r="H11">
        <v>15</v>
      </c>
      <c r="I11">
        <v>90</v>
      </c>
      <c r="J11">
        <v>0.4</v>
      </c>
      <c r="K11">
        <v>907</v>
      </c>
      <c r="L11">
        <v>9.81</v>
      </c>
    </row>
    <row r="12" spans="1:12" x14ac:dyDescent="0.35">
      <c r="A12">
        <v>1</v>
      </c>
      <c r="B12">
        <f>10*60+2</f>
        <v>602</v>
      </c>
      <c r="C12">
        <f t="shared" si="0"/>
        <v>28</v>
      </c>
      <c r="D12">
        <v>20.96</v>
      </c>
      <c r="E12" s="1">
        <v>9.5000000000000005E-5</v>
      </c>
      <c r="F12" s="1">
        <v>0.05</v>
      </c>
      <c r="G12" s="1">
        <v>1270</v>
      </c>
      <c r="H12">
        <v>15</v>
      </c>
      <c r="I12">
        <v>90</v>
      </c>
      <c r="J12">
        <v>0.4</v>
      </c>
      <c r="K12">
        <v>907</v>
      </c>
      <c r="L12">
        <v>9.81</v>
      </c>
    </row>
    <row r="13" spans="1:12" x14ac:dyDescent="0.35">
      <c r="A13">
        <v>1</v>
      </c>
      <c r="B13">
        <f>10*60+15</f>
        <v>615</v>
      </c>
      <c r="C13">
        <f t="shared" si="0"/>
        <v>41</v>
      </c>
      <c r="D13">
        <v>21.02</v>
      </c>
      <c r="E13" s="1">
        <v>9.5000000000000005E-5</v>
      </c>
      <c r="F13" s="1">
        <v>0.05</v>
      </c>
      <c r="G13" s="1">
        <v>1270</v>
      </c>
      <c r="H13">
        <v>15</v>
      </c>
      <c r="I13">
        <v>90</v>
      </c>
      <c r="J13">
        <v>0.4</v>
      </c>
      <c r="K13">
        <v>907</v>
      </c>
      <c r="L13">
        <v>9.81</v>
      </c>
    </row>
    <row r="14" spans="1:12" x14ac:dyDescent="0.35">
      <c r="A14">
        <v>1</v>
      </c>
      <c r="B14">
        <f>11*60+12</f>
        <v>672</v>
      </c>
      <c r="C14">
        <f t="shared" si="0"/>
        <v>98</v>
      </c>
      <c r="D14">
        <v>21.61</v>
      </c>
      <c r="E14" s="1">
        <v>9.5000000000000005E-5</v>
      </c>
      <c r="F14" s="1">
        <v>0.05</v>
      </c>
      <c r="G14" s="1">
        <v>1270</v>
      </c>
      <c r="H14">
        <v>15</v>
      </c>
      <c r="I14">
        <v>90</v>
      </c>
      <c r="J14">
        <v>0.4</v>
      </c>
      <c r="K14">
        <v>907</v>
      </c>
      <c r="L14">
        <v>9.81</v>
      </c>
    </row>
    <row r="15" spans="1:12" x14ac:dyDescent="0.35">
      <c r="A15">
        <v>1</v>
      </c>
      <c r="B15">
        <f>13*60+7</f>
        <v>787</v>
      </c>
      <c r="C15">
        <f t="shared" si="0"/>
        <v>213</v>
      </c>
      <c r="D15">
        <v>21.62</v>
      </c>
      <c r="E15" s="1">
        <v>9.5000000000000005E-5</v>
      </c>
      <c r="F15" s="1">
        <v>0.05</v>
      </c>
      <c r="G15" s="1">
        <v>1270</v>
      </c>
      <c r="H15">
        <v>15</v>
      </c>
      <c r="I15">
        <v>90</v>
      </c>
      <c r="J15">
        <v>0.4</v>
      </c>
      <c r="K15">
        <v>907</v>
      </c>
      <c r="L15">
        <v>9.81</v>
      </c>
    </row>
    <row r="16" spans="1:12" x14ac:dyDescent="0.35">
      <c r="A16">
        <v>1</v>
      </c>
      <c r="B16">
        <f>14*60+15</f>
        <v>855</v>
      </c>
      <c r="C16">
        <f>B16-$B$2</f>
        <v>281</v>
      </c>
      <c r="D16">
        <v>21.99</v>
      </c>
      <c r="E16" s="1">
        <v>9.5000000000000005E-5</v>
      </c>
      <c r="F16" s="1">
        <v>0.05</v>
      </c>
      <c r="G16" s="1">
        <v>1270</v>
      </c>
      <c r="H16">
        <v>15</v>
      </c>
      <c r="I16">
        <v>90</v>
      </c>
      <c r="J16">
        <v>0.4</v>
      </c>
      <c r="K16">
        <v>907</v>
      </c>
      <c r="L16">
        <v>9.81</v>
      </c>
    </row>
    <row r="17" spans="1:12" x14ac:dyDescent="0.35">
      <c r="A17">
        <v>1</v>
      </c>
      <c r="B17">
        <f>15*60+53</f>
        <v>953</v>
      </c>
      <c r="C17">
        <f t="shared" si="0"/>
        <v>379</v>
      </c>
      <c r="D17">
        <v>22.48</v>
      </c>
      <c r="E17" s="1"/>
      <c r="F17" s="1"/>
      <c r="G17" s="1"/>
    </row>
    <row r="18" spans="1:12" x14ac:dyDescent="0.35">
      <c r="D18">
        <v>22.73</v>
      </c>
      <c r="E18" s="1"/>
      <c r="F18" s="1"/>
      <c r="G18" s="1"/>
    </row>
    <row r="19" spans="1:12" x14ac:dyDescent="0.35">
      <c r="E19" s="1"/>
      <c r="F19" s="1"/>
      <c r="G19" s="1"/>
    </row>
    <row r="20" spans="1:12" x14ac:dyDescent="0.35">
      <c r="A20">
        <v>2</v>
      </c>
      <c r="B20">
        <v>578</v>
      </c>
      <c r="C20">
        <f>0</f>
        <v>0</v>
      </c>
      <c r="D20">
        <v>9.6</v>
      </c>
      <c r="E20" s="1">
        <v>9.5000000000000005E-5</v>
      </c>
      <c r="F20" s="1">
        <v>0.05</v>
      </c>
      <c r="G20" s="1">
        <v>1270</v>
      </c>
      <c r="H20">
        <v>15</v>
      </c>
      <c r="I20">
        <v>90</v>
      </c>
      <c r="J20">
        <v>0.4</v>
      </c>
      <c r="K20">
        <v>907</v>
      </c>
      <c r="L20">
        <v>9.81</v>
      </c>
    </row>
    <row r="21" spans="1:12" x14ac:dyDescent="0.35">
      <c r="A21">
        <v>2</v>
      </c>
      <c r="B21">
        <v>579</v>
      </c>
      <c r="C21">
        <f>B21-$B$20</f>
        <v>1</v>
      </c>
      <c r="D21">
        <v>15.24</v>
      </c>
      <c r="E21" s="1">
        <v>9.5000000000000005E-5</v>
      </c>
      <c r="F21" s="1">
        <v>0.05</v>
      </c>
      <c r="G21" s="1">
        <v>1270</v>
      </c>
      <c r="H21">
        <v>15</v>
      </c>
      <c r="I21">
        <v>90</v>
      </c>
      <c r="J21">
        <v>0.4</v>
      </c>
      <c r="K21">
        <v>907</v>
      </c>
      <c r="L21">
        <v>9.81</v>
      </c>
    </row>
    <row r="22" spans="1:12" x14ac:dyDescent="0.35">
      <c r="A22">
        <v>2</v>
      </c>
      <c r="B22">
        <v>580</v>
      </c>
      <c r="C22">
        <f t="shared" ref="C22:C34" si="1">B22-$B$20</f>
        <v>2</v>
      </c>
      <c r="D22">
        <v>16.399999999999999</v>
      </c>
      <c r="E22" s="1">
        <v>9.5000000000000005E-5</v>
      </c>
      <c r="F22" s="1">
        <v>0.05</v>
      </c>
      <c r="G22" s="1">
        <v>1270</v>
      </c>
      <c r="H22">
        <v>15</v>
      </c>
      <c r="I22">
        <v>90</v>
      </c>
      <c r="J22">
        <v>0.4</v>
      </c>
      <c r="K22">
        <v>907</v>
      </c>
      <c r="L22">
        <v>9.81</v>
      </c>
    </row>
    <row r="23" spans="1:12" x14ac:dyDescent="0.35">
      <c r="A23">
        <v>2</v>
      </c>
      <c r="B23">
        <v>581</v>
      </c>
      <c r="C23">
        <f t="shared" si="1"/>
        <v>3</v>
      </c>
      <c r="D23">
        <v>17.399999999999999</v>
      </c>
      <c r="E23" s="1">
        <v>9.5000000000000005E-5</v>
      </c>
      <c r="F23" s="1">
        <v>0.05</v>
      </c>
      <c r="G23" s="1">
        <v>1270</v>
      </c>
      <c r="H23">
        <v>15</v>
      </c>
      <c r="I23">
        <v>90</v>
      </c>
      <c r="J23">
        <v>0.4</v>
      </c>
      <c r="K23">
        <v>907</v>
      </c>
      <c r="L23">
        <v>9.81</v>
      </c>
    </row>
    <row r="24" spans="1:12" x14ac:dyDescent="0.35">
      <c r="A24">
        <v>2</v>
      </c>
      <c r="B24">
        <v>582</v>
      </c>
      <c r="C24">
        <f t="shared" si="1"/>
        <v>4</v>
      </c>
      <c r="D24">
        <v>18.27</v>
      </c>
      <c r="E24" s="1">
        <v>9.5000000000000005E-5</v>
      </c>
      <c r="F24" s="1">
        <v>0.05</v>
      </c>
      <c r="G24" s="1">
        <v>1270</v>
      </c>
      <c r="H24">
        <v>15</v>
      </c>
      <c r="I24">
        <v>90</v>
      </c>
      <c r="J24">
        <v>0.4</v>
      </c>
      <c r="K24">
        <v>907</v>
      </c>
      <c r="L24">
        <v>9.81</v>
      </c>
    </row>
    <row r="25" spans="1:12" x14ac:dyDescent="0.35">
      <c r="A25">
        <v>2</v>
      </c>
      <c r="B25">
        <f>9*60+44</f>
        <v>584</v>
      </c>
      <c r="C25">
        <f t="shared" si="1"/>
        <v>6</v>
      </c>
      <c r="D25">
        <v>19.5</v>
      </c>
      <c r="E25" s="1">
        <v>9.5000000000000005E-5</v>
      </c>
      <c r="F25" s="1">
        <v>0.05</v>
      </c>
      <c r="G25" s="1">
        <v>1270</v>
      </c>
      <c r="H25">
        <v>15</v>
      </c>
      <c r="I25">
        <v>90</v>
      </c>
      <c r="J25">
        <v>0.4</v>
      </c>
      <c r="K25">
        <v>907</v>
      </c>
      <c r="L25">
        <v>9.81</v>
      </c>
    </row>
    <row r="26" spans="1:12" x14ac:dyDescent="0.35">
      <c r="A26">
        <v>2</v>
      </c>
      <c r="B26">
        <f>9*60+48</f>
        <v>588</v>
      </c>
      <c r="C26">
        <f t="shared" si="1"/>
        <v>10</v>
      </c>
      <c r="D26">
        <v>20</v>
      </c>
      <c r="E26" s="1">
        <v>9.5000000000000005E-5</v>
      </c>
      <c r="F26" s="1">
        <v>0.05</v>
      </c>
      <c r="G26" s="1">
        <v>1270</v>
      </c>
      <c r="H26">
        <v>15</v>
      </c>
      <c r="I26">
        <v>90</v>
      </c>
      <c r="J26">
        <v>0.4</v>
      </c>
      <c r="K26">
        <v>907</v>
      </c>
      <c r="L26">
        <v>9.81</v>
      </c>
    </row>
    <row r="27" spans="1:12" x14ac:dyDescent="0.35">
      <c r="A27">
        <v>2</v>
      </c>
      <c r="B27">
        <f>9*60+51</f>
        <v>591</v>
      </c>
      <c r="C27">
        <f t="shared" si="1"/>
        <v>13</v>
      </c>
      <c r="D27">
        <v>20.48</v>
      </c>
      <c r="E27" s="1">
        <v>9.5000000000000005E-5</v>
      </c>
      <c r="F27" s="1">
        <v>0.05</v>
      </c>
      <c r="G27" s="1">
        <v>1270</v>
      </c>
      <c r="H27">
        <v>15</v>
      </c>
      <c r="I27">
        <v>90</v>
      </c>
      <c r="J27">
        <v>0.4</v>
      </c>
      <c r="K27">
        <v>907</v>
      </c>
      <c r="L27">
        <v>9.81</v>
      </c>
    </row>
    <row r="28" spans="1:12" x14ac:dyDescent="0.35">
      <c r="A28">
        <v>2</v>
      </c>
      <c r="B28">
        <f>9*60+58</f>
        <v>598</v>
      </c>
      <c r="C28">
        <f t="shared" si="1"/>
        <v>20</v>
      </c>
      <c r="D28">
        <v>21.04</v>
      </c>
      <c r="E28" s="1">
        <v>9.5000000000000005E-5</v>
      </c>
      <c r="F28" s="1">
        <v>0.05</v>
      </c>
      <c r="G28" s="1">
        <v>1270</v>
      </c>
      <c r="H28">
        <v>15</v>
      </c>
      <c r="I28">
        <v>90</v>
      </c>
      <c r="J28">
        <v>0.4</v>
      </c>
      <c r="K28">
        <v>907</v>
      </c>
      <c r="L28">
        <v>9.81</v>
      </c>
    </row>
    <row r="29" spans="1:12" x14ac:dyDescent="0.35">
      <c r="A29">
        <v>2</v>
      </c>
      <c r="B29">
        <f>10*60+2</f>
        <v>602</v>
      </c>
      <c r="C29">
        <f t="shared" si="1"/>
        <v>24</v>
      </c>
      <c r="D29">
        <v>21.48</v>
      </c>
      <c r="E29" s="1">
        <v>9.5000000000000005E-5</v>
      </c>
      <c r="F29" s="1">
        <v>0.05</v>
      </c>
      <c r="G29" s="1">
        <v>1270</v>
      </c>
      <c r="H29">
        <v>15</v>
      </c>
      <c r="I29">
        <v>90</v>
      </c>
      <c r="J29">
        <v>0.4</v>
      </c>
      <c r="K29">
        <v>907</v>
      </c>
      <c r="L29">
        <v>9.81</v>
      </c>
    </row>
    <row r="30" spans="1:12" x14ac:dyDescent="0.35">
      <c r="A30">
        <v>2</v>
      </c>
      <c r="B30">
        <f>10*60+15</f>
        <v>615</v>
      </c>
      <c r="C30">
        <f t="shared" si="1"/>
        <v>37</v>
      </c>
      <c r="D30">
        <v>21.99</v>
      </c>
      <c r="E30" s="1">
        <v>9.5000000000000005E-5</v>
      </c>
      <c r="F30" s="1">
        <v>0.05</v>
      </c>
      <c r="G30" s="1">
        <v>1270</v>
      </c>
      <c r="H30">
        <v>15</v>
      </c>
      <c r="I30">
        <v>90</v>
      </c>
      <c r="J30">
        <v>0.4</v>
      </c>
      <c r="K30">
        <v>907</v>
      </c>
      <c r="L30">
        <v>9.81</v>
      </c>
    </row>
    <row r="31" spans="1:12" x14ac:dyDescent="0.35">
      <c r="A31">
        <v>2</v>
      </c>
      <c r="B31">
        <f>11*60+12</f>
        <v>672</v>
      </c>
      <c r="C31">
        <f t="shared" si="1"/>
        <v>94</v>
      </c>
      <c r="D31">
        <v>22.56</v>
      </c>
      <c r="E31" s="1">
        <v>9.5000000000000005E-5</v>
      </c>
      <c r="F31" s="1">
        <v>0.05</v>
      </c>
      <c r="G31" s="1">
        <v>1270</v>
      </c>
      <c r="H31">
        <v>15</v>
      </c>
      <c r="I31">
        <v>90</v>
      </c>
      <c r="J31">
        <v>0.4</v>
      </c>
      <c r="K31">
        <v>907</v>
      </c>
      <c r="L31">
        <v>9.81</v>
      </c>
    </row>
    <row r="32" spans="1:12" x14ac:dyDescent="0.35">
      <c r="A32">
        <v>2</v>
      </c>
      <c r="B32">
        <f>13*60+7</f>
        <v>787</v>
      </c>
      <c r="C32">
        <f t="shared" si="1"/>
        <v>209</v>
      </c>
      <c r="D32">
        <v>22.8</v>
      </c>
      <c r="E32" s="1">
        <v>9.5000000000000005E-5</v>
      </c>
      <c r="F32" s="1">
        <v>0.05</v>
      </c>
      <c r="G32" s="1">
        <v>1270</v>
      </c>
      <c r="H32">
        <v>15</v>
      </c>
      <c r="I32">
        <v>90</v>
      </c>
      <c r="J32">
        <v>0.4</v>
      </c>
      <c r="K32">
        <v>907</v>
      </c>
      <c r="L32">
        <v>9.81</v>
      </c>
    </row>
    <row r="33" spans="1:12" x14ac:dyDescent="0.35">
      <c r="A33">
        <v>2</v>
      </c>
      <c r="B33">
        <f>14*60+15</f>
        <v>855</v>
      </c>
      <c r="C33">
        <f t="shared" si="1"/>
        <v>277</v>
      </c>
      <c r="D33">
        <v>22.91</v>
      </c>
      <c r="E33" s="1">
        <v>9.5000000000000005E-5</v>
      </c>
      <c r="F33" s="1">
        <v>0.05</v>
      </c>
      <c r="G33" s="1">
        <v>1270</v>
      </c>
      <c r="H33">
        <v>15</v>
      </c>
      <c r="I33">
        <v>90</v>
      </c>
      <c r="J33">
        <v>0.4</v>
      </c>
      <c r="K33">
        <v>907</v>
      </c>
      <c r="L33">
        <v>9.81</v>
      </c>
    </row>
    <row r="34" spans="1:12" x14ac:dyDescent="0.35">
      <c r="A34">
        <v>2</v>
      </c>
      <c r="B34">
        <f>15*60+53</f>
        <v>953</v>
      </c>
      <c r="C34">
        <f t="shared" si="1"/>
        <v>375</v>
      </c>
      <c r="D34">
        <v>23.87</v>
      </c>
    </row>
    <row r="35" spans="1:12" x14ac:dyDescent="0.35">
      <c r="D35">
        <v>24.32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2026-02-09T12:37:48Z</dcterms:created>
  <dcterms:modified xsi:type="dcterms:W3CDTF">2026-02-09T16:09:04Z</dcterms:modified>
</cp:coreProperties>
</file>