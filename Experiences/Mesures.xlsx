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2395D4EE-75FC-4447-99E2-FC4D7E2326C3}" xr6:coauthVersionLast="47" xr6:coauthVersionMax="47" xr10:uidLastSave="{00000000-0000-0000-0000-000000000000}"/>
  <bookViews>
    <workbookView xWindow="9510" yWindow="0" windowWidth="9780" windowHeight="10170" xr2:uid="{2D0AE7B5-38DD-4562-AF38-2785CFA158C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D3" i="1"/>
  <c r="D4" i="1"/>
  <c r="D5" i="1"/>
  <c r="D6" i="1"/>
  <c r="Q6" i="1" s="1"/>
  <c r="D7" i="1"/>
  <c r="Q7" i="1" s="1"/>
  <c r="D8" i="1"/>
  <c r="D9" i="1"/>
  <c r="D10" i="1"/>
  <c r="D11" i="1"/>
  <c r="D12" i="1"/>
  <c r="D13" i="1"/>
  <c r="D14" i="1"/>
  <c r="Q14" i="1" s="1"/>
  <c r="D15" i="1"/>
  <c r="Q15" i="1" s="1"/>
  <c r="D16" i="1"/>
  <c r="D17" i="1"/>
  <c r="D18" i="1"/>
  <c r="D19" i="1"/>
  <c r="D20" i="1"/>
  <c r="D21" i="1"/>
  <c r="D22" i="1"/>
  <c r="Q22" i="1" s="1"/>
  <c r="D23" i="1"/>
  <c r="Q23" i="1" s="1"/>
  <c r="D24" i="1"/>
  <c r="D25" i="1"/>
  <c r="P2" i="1"/>
  <c r="O3" i="1"/>
  <c r="P3" i="1"/>
  <c r="Q3" i="1" s="1"/>
  <c r="O4" i="1"/>
  <c r="P4" i="1"/>
  <c r="Q4" i="1" s="1"/>
  <c r="O5" i="1"/>
  <c r="P5" i="1"/>
  <c r="Q5" i="1" s="1"/>
  <c r="O6" i="1"/>
  <c r="P6" i="1"/>
  <c r="O7" i="1"/>
  <c r="P7" i="1"/>
  <c r="O8" i="1"/>
  <c r="P8" i="1"/>
  <c r="Q8" i="1" s="1"/>
  <c r="O9" i="1"/>
  <c r="P9" i="1"/>
  <c r="Q9" i="1" s="1"/>
  <c r="O10" i="1"/>
  <c r="P10" i="1"/>
  <c r="Q10" i="1" s="1"/>
  <c r="O11" i="1"/>
  <c r="P11" i="1"/>
  <c r="Q11" i="1" s="1"/>
  <c r="O12" i="1"/>
  <c r="P12" i="1"/>
  <c r="Q12" i="1" s="1"/>
  <c r="O13" i="1"/>
  <c r="P13" i="1"/>
  <c r="Q13" i="1" s="1"/>
  <c r="O14" i="1"/>
  <c r="P14" i="1"/>
  <c r="O15" i="1"/>
  <c r="P15" i="1"/>
  <c r="O16" i="1"/>
  <c r="P16" i="1"/>
  <c r="Q16" i="1" s="1"/>
  <c r="O17" i="1"/>
  <c r="P17" i="1"/>
  <c r="Q17" i="1" s="1"/>
  <c r="O18" i="1"/>
  <c r="P18" i="1"/>
  <c r="Q18" i="1" s="1"/>
  <c r="O19" i="1"/>
  <c r="P19" i="1"/>
  <c r="Q19" i="1" s="1"/>
  <c r="O20" i="1"/>
  <c r="P20" i="1"/>
  <c r="Q20" i="1" s="1"/>
  <c r="O21" i="1"/>
  <c r="P21" i="1"/>
  <c r="Q21" i="1" s="1"/>
  <c r="O22" i="1"/>
  <c r="P22" i="1"/>
  <c r="O23" i="1"/>
  <c r="P23" i="1"/>
  <c r="O24" i="1"/>
  <c r="P24" i="1"/>
  <c r="Q24" i="1" s="1"/>
  <c r="O25" i="1"/>
  <c r="P25" i="1"/>
  <c r="Q25" i="1" s="1"/>
  <c r="O2" i="1"/>
  <c r="R10" i="1" l="1"/>
  <c r="T10" i="1" s="1"/>
  <c r="R17" i="1"/>
  <c r="R25" i="1"/>
  <c r="R13" i="1"/>
  <c r="T13" i="1" s="1"/>
  <c r="R7" i="1"/>
  <c r="R12" i="1"/>
  <c r="R6" i="1"/>
  <c r="T6" i="1" s="1"/>
  <c r="R21" i="1"/>
  <c r="T21" i="1" s="1"/>
  <c r="R9" i="1"/>
  <c r="R23" i="1"/>
  <c r="V16" i="1"/>
  <c r="R16" i="1"/>
  <c r="T16" i="1" s="1"/>
  <c r="R14" i="1"/>
  <c r="T14" i="1" s="1"/>
  <c r="R18" i="1"/>
  <c r="T18" i="1" s="1"/>
  <c r="R5" i="1"/>
  <c r="V15" i="1"/>
  <c r="R15" i="1"/>
  <c r="V24" i="1"/>
  <c r="R24" i="1"/>
  <c r="V20" i="1"/>
  <c r="R20" i="1"/>
  <c r="R8" i="1"/>
  <c r="T8" i="1" s="1"/>
  <c r="R4" i="1"/>
  <c r="V22" i="1"/>
  <c r="R22" i="1"/>
  <c r="T22" i="1" s="1"/>
  <c r="V19" i="1"/>
  <c r="R19" i="1"/>
  <c r="R11" i="1"/>
  <c r="T11" i="1" s="1"/>
  <c r="V3" i="1"/>
  <c r="R3" i="1"/>
  <c r="T3" i="1" s="1"/>
  <c r="K32" i="1"/>
  <c r="K33" i="1"/>
  <c r="K35" i="1"/>
  <c r="K34" i="1"/>
  <c r="K29" i="1"/>
  <c r="K31" i="1"/>
  <c r="K30" i="1"/>
  <c r="S10" i="1"/>
  <c r="V10" i="1" s="1"/>
  <c r="S22" i="1"/>
  <c r="T23" i="1"/>
  <c r="T15" i="1"/>
  <c r="T7" i="1"/>
  <c r="T5" i="1"/>
  <c r="T20" i="1"/>
  <c r="T12" i="1"/>
  <c r="T4" i="1"/>
  <c r="T19" i="1"/>
  <c r="T25" i="1"/>
  <c r="T17" i="1"/>
  <c r="T9" i="1"/>
  <c r="T24" i="1"/>
  <c r="S23" i="1"/>
  <c r="V23" i="1" s="1"/>
  <c r="S11" i="1"/>
  <c r="V11" i="1" s="1"/>
  <c r="S19" i="1"/>
  <c r="S18" i="1"/>
  <c r="V18" i="1" s="1"/>
  <c r="S7" i="1"/>
  <c r="V7" i="1" s="1"/>
  <c r="S14" i="1"/>
  <c r="V14" i="1" s="1"/>
  <c r="S3" i="1"/>
  <c r="S15" i="1"/>
  <c r="S25" i="1"/>
  <c r="V25" i="1" s="1"/>
  <c r="S24" i="1"/>
  <c r="S17" i="1"/>
  <c r="V17" i="1" s="1"/>
  <c r="S12" i="1"/>
  <c r="V12" i="1" s="1"/>
  <c r="S21" i="1"/>
  <c r="V21" i="1" s="1"/>
  <c r="S4" i="1"/>
  <c r="V4" i="1" s="1"/>
  <c r="S16" i="1"/>
  <c r="S9" i="1"/>
  <c r="V9" i="1" s="1"/>
  <c r="S8" i="1"/>
  <c r="V8" i="1" s="1"/>
  <c r="S6" i="1"/>
  <c r="V6" i="1" s="1"/>
  <c r="S20" i="1"/>
  <c r="S13" i="1"/>
  <c r="V13" i="1" s="1"/>
  <c r="S5" i="1"/>
  <c r="V5" i="1" s="1"/>
  <c r="Y10" i="1" l="1"/>
  <c r="U10" i="1"/>
  <c r="U22" i="1"/>
  <c r="X22" i="1" s="1"/>
  <c r="Y21" i="1"/>
  <c r="U21" i="1"/>
  <c r="U3" i="1"/>
  <c r="Y3" i="1" s="1"/>
  <c r="Y14" i="1"/>
  <c r="U14" i="1"/>
  <c r="U18" i="1"/>
  <c r="Y18" i="1" s="1"/>
  <c r="U13" i="1"/>
  <c r="Y13" i="1" s="1"/>
  <c r="Y6" i="1"/>
  <c r="U6" i="1"/>
  <c r="U8" i="1"/>
  <c r="Y8" i="1" s="1"/>
  <c r="U11" i="1"/>
  <c r="X11" i="1" s="1"/>
  <c r="U16" i="1"/>
  <c r="Y16" i="1" s="1"/>
  <c r="Y9" i="1"/>
  <c r="U9" i="1"/>
  <c r="U15" i="1"/>
  <c r="Y15" i="1" s="1"/>
  <c r="U23" i="1"/>
  <c r="Y23" i="1" s="1"/>
  <c r="U17" i="1"/>
  <c r="Y17" i="1" s="1"/>
  <c r="Y7" i="1"/>
  <c r="U7" i="1"/>
  <c r="X7" i="1" s="1"/>
  <c r="U12" i="1"/>
  <c r="Y12" i="1" s="1"/>
  <c r="U20" i="1"/>
  <c r="X20" i="1" s="1"/>
  <c r="U25" i="1"/>
  <c r="X25" i="1" s="1"/>
  <c r="Y5" i="1"/>
  <c r="U5" i="1"/>
  <c r="U4" i="1"/>
  <c r="Y4" i="1" s="1"/>
  <c r="U24" i="1"/>
  <c r="Y24" i="1" s="1"/>
  <c r="U19" i="1"/>
  <c r="X19" i="1" s="1"/>
  <c r="X16" i="1"/>
  <c r="X13" i="1"/>
  <c r="X10" i="1"/>
  <c r="X15" i="1"/>
  <c r="X21" i="1"/>
  <c r="X14" i="1"/>
  <c r="X5" i="1"/>
  <c r="X6" i="1"/>
  <c r="X8" i="1"/>
  <c r="X9" i="1"/>
  <c r="X3" i="1"/>
  <c r="X12" i="1"/>
  <c r="X4" i="1"/>
  <c r="X17" i="1" l="1"/>
  <c r="X24" i="1"/>
  <c r="Y19" i="1"/>
  <c r="Y25" i="1"/>
  <c r="X18" i="1"/>
  <c r="X23" i="1"/>
  <c r="Y20" i="1"/>
  <c r="Y11" i="1"/>
  <c r="Y22" i="1"/>
  <c r="Q2" i="1"/>
  <c r="S2" i="1" s="1"/>
  <c r="R2" i="1" l="1"/>
  <c r="T2" i="1" s="1"/>
  <c r="U2" i="1" s="1"/>
  <c r="Y2" i="1" s="1"/>
  <c r="V2" i="1"/>
  <c r="X2" i="1" l="1"/>
</calcChain>
</file>

<file path=xl/sharedStrings.xml><?xml version="1.0" encoding="utf-8"?>
<sst xmlns="http://schemas.openxmlformats.org/spreadsheetml/2006/main" count="24" uniqueCount="24">
  <si>
    <t>poids compression</t>
  </si>
  <si>
    <t>tau0</t>
  </si>
  <si>
    <t>k</t>
  </si>
  <si>
    <t>m</t>
  </si>
  <si>
    <t>G</t>
  </si>
  <si>
    <t>r_max/r0</t>
  </si>
  <si>
    <t>volume</t>
  </si>
  <si>
    <t>Bn</t>
  </si>
  <si>
    <t>Ga</t>
  </si>
  <si>
    <t>g</t>
  </si>
  <si>
    <t>Uc</t>
  </si>
  <si>
    <t>Scaling visq</t>
  </si>
  <si>
    <t>Scaling plas</t>
  </si>
  <si>
    <t>X=plas/visq</t>
  </si>
  <si>
    <t>Y=fin/visq</t>
  </si>
  <si>
    <t>Masse compression</t>
  </si>
  <si>
    <t>Moyenne D_max</t>
  </si>
  <si>
    <t>D_0 [mm]</t>
  </si>
  <si>
    <t>D_max [mm]</t>
  </si>
  <si>
    <t>rho [kg/m3]</t>
  </si>
  <si>
    <t>masse d'une goutte [kg]</t>
  </si>
  <si>
    <t>h0 [m]</t>
  </si>
  <si>
    <t>D_0 [m]</t>
  </si>
  <si>
    <t>D_max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</si>
</sst>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11" fontId="0" fillId="3" borderId="0" xfId="0" applyNumberFormat="1" applyFill="1"/>
    <xf numFmtId="11" fontId="0" fillId="4" borderId="0" xfId="0" applyNumberFormat="1" applyFill="1"/>
    <xf numFmtId="11" fontId="0" fillId="5" borderId="0" xfId="0" applyNumberFormat="1" applyFill="1"/>
    <xf numFmtId="1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Etalement sous compression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Goutte 95 mg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260085406424002E-2"/>
                  <c:y val="0.15670984630135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Feuil1!$B$2:$B$13</c:f>
              <c:numCache>
                <c:formatCode>0.00E+00</c:formatCode>
                <c:ptCount val="12"/>
                <c:pt idx="0">
                  <c:v>4.1804000000000001E-2</c:v>
                </c:pt>
                <c:pt idx="1">
                  <c:v>4.1804000000000001E-2</c:v>
                </c:pt>
                <c:pt idx="2">
                  <c:v>4.1804000000000001E-2</c:v>
                </c:pt>
                <c:pt idx="3">
                  <c:v>4.1804000000000001E-2</c:v>
                </c:pt>
                <c:pt idx="4">
                  <c:v>4.1804000000000001E-2</c:v>
                </c:pt>
                <c:pt idx="5">
                  <c:v>0.10015300000000001</c:v>
                </c:pt>
                <c:pt idx="6">
                  <c:v>0.10015300000000001</c:v>
                </c:pt>
                <c:pt idx="7">
                  <c:v>0.10015300000000001</c:v>
                </c:pt>
                <c:pt idx="8">
                  <c:v>0.10015300000000001</c:v>
                </c:pt>
                <c:pt idx="9">
                  <c:v>2.001E-2</c:v>
                </c:pt>
                <c:pt idx="10">
                  <c:v>2.001E-2</c:v>
                </c:pt>
                <c:pt idx="11">
                  <c:v>2.001E-2</c:v>
                </c:pt>
              </c:numCache>
            </c:numRef>
          </c:xVal>
          <c:yVal>
            <c:numRef>
              <c:f>Feuil1!$O$2:$O$13</c:f>
              <c:numCache>
                <c:formatCode>0.00E+00</c:formatCode>
                <c:ptCount val="12"/>
                <c:pt idx="0">
                  <c:v>1.5881763527054107</c:v>
                </c:pt>
                <c:pt idx="1">
                  <c:v>1.4412580943570767</c:v>
                </c:pt>
                <c:pt idx="2">
                  <c:v>1.4425925925925924</c:v>
                </c:pt>
                <c:pt idx="3">
                  <c:v>1.5769230769230769</c:v>
                </c:pt>
                <c:pt idx="4">
                  <c:v>1.5836236933797909</c:v>
                </c:pt>
                <c:pt idx="5">
                  <c:v>1.7290598290598291</c:v>
                </c:pt>
                <c:pt idx="6">
                  <c:v>1.9182444061962134</c:v>
                </c:pt>
                <c:pt idx="7">
                  <c:v>2.0878316559926806</c:v>
                </c:pt>
                <c:pt idx="8">
                  <c:v>1.9991181657848327</c:v>
                </c:pt>
                <c:pt idx="9">
                  <c:v>1.5967885816235501</c:v>
                </c:pt>
                <c:pt idx="10">
                  <c:v>1.5851917930419266</c:v>
                </c:pt>
                <c:pt idx="11">
                  <c:v>1.5060240963855422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5-401B-BA5F-B646A541295A}"/>
            </c:ext>
          </c:extLst>
        </c:ser>
        <c:ser>
          <c:idx val="1"/>
          <c:order val="1"/>
          <c:tx>
            <c:v>Goutte 55mg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943730170853402E-2"/>
                  <c:y val="8.77515361095358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Feuil1!$B$14:$B$25</c:f>
              <c:numCache>
                <c:formatCode>0.00E+00</c:formatCode>
                <c:ptCount val="12"/>
                <c:pt idx="0">
                  <c:v>0.100025</c:v>
                </c:pt>
                <c:pt idx="1">
                  <c:v>0.100025</c:v>
                </c:pt>
                <c:pt idx="2">
                  <c:v>0.100025</c:v>
                </c:pt>
                <c:pt idx="3">
                  <c:v>0.100025</c:v>
                </c:pt>
                <c:pt idx="4">
                  <c:v>4.1804000000000001E-2</c:v>
                </c:pt>
                <c:pt idx="5">
                  <c:v>4.1804000000000001E-2</c:v>
                </c:pt>
                <c:pt idx="6">
                  <c:v>2.001E-2</c:v>
                </c:pt>
                <c:pt idx="7">
                  <c:v>2.001E-2</c:v>
                </c:pt>
                <c:pt idx="8">
                  <c:v>2.001E-2</c:v>
                </c:pt>
                <c:pt idx="9">
                  <c:v>0.20005999999999999</c:v>
                </c:pt>
                <c:pt idx="10">
                  <c:v>0.20005999999999999</c:v>
                </c:pt>
                <c:pt idx="11">
                  <c:v>0.20005999999999999</c:v>
                </c:pt>
              </c:numCache>
            </c:numRef>
          </c:xVal>
          <c:yVal>
            <c:numRef>
              <c:f>Feuil1!$O$14:$O$25</c:f>
              <c:numCache>
                <c:formatCode>0.00E+00</c:formatCode>
                <c:ptCount val="12"/>
                <c:pt idx="0">
                  <c:v>1.9278017241379313</c:v>
                </c:pt>
                <c:pt idx="1">
                  <c:v>1.9340540540540541</c:v>
                </c:pt>
                <c:pt idx="2">
                  <c:v>1.8381330685203576</c:v>
                </c:pt>
                <c:pt idx="3">
                  <c:v>1.9772972972972973</c:v>
                </c:pt>
                <c:pt idx="4">
                  <c:v>1.752212389380531</c:v>
                </c:pt>
                <c:pt idx="5">
                  <c:v>1.7278761061946903</c:v>
                </c:pt>
                <c:pt idx="6">
                  <c:v>1.6324503311258276</c:v>
                </c:pt>
                <c:pt idx="7">
                  <c:v>1.5894039735099337</c:v>
                </c:pt>
                <c:pt idx="8">
                  <c:v>1.652972972972973</c:v>
                </c:pt>
                <c:pt idx="9">
                  <c:v>2.1637122002085505</c:v>
                </c:pt>
                <c:pt idx="10">
                  <c:v>2.315675675675676</c:v>
                </c:pt>
                <c:pt idx="11">
                  <c:v>2.2924944812362029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15-401B-BA5F-B646A5412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446016"/>
        <c:axId val="721446736"/>
      </c:scatterChart>
      <c:valAx>
        <c:axId val="72144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masse</a:t>
                </a:r>
                <a:r>
                  <a:rPr lang="fr-FR" baseline="0"/>
                  <a:t> de la compression M [g]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446736"/>
        <c:crosses val="autoZero"/>
        <c:crossBetween val="midCat"/>
      </c:valAx>
      <c:valAx>
        <c:axId val="7214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</a:t>
                </a:r>
                <a:r>
                  <a:rPr lang="fr-FR" baseline="0"/>
                  <a:t> max/ D init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44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Goutte 95 mg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982638926533458"/>
                  <c:y val="-1.69186028697680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Feuil1!$B$2:$B$13</c:f>
              <c:numCache>
                <c:formatCode>0.00E+00</c:formatCode>
                <c:ptCount val="12"/>
                <c:pt idx="0">
                  <c:v>4.1804000000000001E-2</c:v>
                </c:pt>
                <c:pt idx="1">
                  <c:v>4.1804000000000001E-2</c:v>
                </c:pt>
                <c:pt idx="2">
                  <c:v>4.1804000000000001E-2</c:v>
                </c:pt>
                <c:pt idx="3">
                  <c:v>4.1804000000000001E-2</c:v>
                </c:pt>
                <c:pt idx="4">
                  <c:v>4.1804000000000001E-2</c:v>
                </c:pt>
                <c:pt idx="5">
                  <c:v>0.10015300000000001</c:v>
                </c:pt>
                <c:pt idx="6">
                  <c:v>0.10015300000000001</c:v>
                </c:pt>
                <c:pt idx="7">
                  <c:v>0.10015300000000001</c:v>
                </c:pt>
                <c:pt idx="8">
                  <c:v>0.10015300000000001</c:v>
                </c:pt>
                <c:pt idx="9">
                  <c:v>2.001E-2</c:v>
                </c:pt>
                <c:pt idx="10">
                  <c:v>2.001E-2</c:v>
                </c:pt>
                <c:pt idx="11">
                  <c:v>2.001E-2</c:v>
                </c:pt>
              </c:numCache>
            </c:numRef>
          </c:xVal>
          <c:yVal>
            <c:numRef>
              <c:f>Feuil1!$E$2:$E$13</c:f>
              <c:numCache>
                <c:formatCode>0.00E+00</c:formatCode>
                <c:ptCount val="12"/>
                <c:pt idx="0">
                  <c:v>15.85</c:v>
                </c:pt>
                <c:pt idx="1">
                  <c:v>15.58</c:v>
                </c:pt>
                <c:pt idx="2">
                  <c:v>15.58</c:v>
                </c:pt>
                <c:pt idx="3">
                  <c:v>16.809999999999999</c:v>
                </c:pt>
                <c:pt idx="4">
                  <c:v>18.18</c:v>
                </c:pt>
                <c:pt idx="5">
                  <c:v>20.23</c:v>
                </c:pt>
                <c:pt idx="6">
                  <c:v>22.29</c:v>
                </c:pt>
                <c:pt idx="7">
                  <c:v>22.82</c:v>
                </c:pt>
                <c:pt idx="8">
                  <c:v>22.67</c:v>
                </c:pt>
                <c:pt idx="9">
                  <c:v>17.899999999999999</c:v>
                </c:pt>
                <c:pt idx="10">
                  <c:v>17.77</c:v>
                </c:pt>
                <c:pt idx="11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61-430D-93B4-18EC9F35F25F}"/>
            </c:ext>
          </c:extLst>
        </c:ser>
        <c:ser>
          <c:idx val="1"/>
          <c:order val="1"/>
          <c:tx>
            <c:v>Goutte 55mg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943730170853402E-2"/>
                  <c:y val="8.77515361095358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Feuil1!$B$14:$B$25</c:f>
              <c:numCache>
                <c:formatCode>0.00E+00</c:formatCode>
                <c:ptCount val="12"/>
                <c:pt idx="0">
                  <c:v>0.100025</c:v>
                </c:pt>
                <c:pt idx="1">
                  <c:v>0.100025</c:v>
                </c:pt>
                <c:pt idx="2">
                  <c:v>0.100025</c:v>
                </c:pt>
                <c:pt idx="3">
                  <c:v>0.100025</c:v>
                </c:pt>
                <c:pt idx="4">
                  <c:v>4.1804000000000001E-2</c:v>
                </c:pt>
                <c:pt idx="5">
                  <c:v>4.1804000000000001E-2</c:v>
                </c:pt>
                <c:pt idx="6">
                  <c:v>2.001E-2</c:v>
                </c:pt>
                <c:pt idx="7">
                  <c:v>2.001E-2</c:v>
                </c:pt>
                <c:pt idx="8">
                  <c:v>2.001E-2</c:v>
                </c:pt>
                <c:pt idx="9">
                  <c:v>0.20005999999999999</c:v>
                </c:pt>
                <c:pt idx="10">
                  <c:v>0.20005999999999999</c:v>
                </c:pt>
                <c:pt idx="11">
                  <c:v>0.20005999999999999</c:v>
                </c:pt>
              </c:numCache>
            </c:numRef>
          </c:xVal>
          <c:yVal>
            <c:numRef>
              <c:f>Feuil1!$E$14:$E$25</c:f>
              <c:numCache>
                <c:formatCode>0.00E+00</c:formatCode>
                <c:ptCount val="12"/>
                <c:pt idx="0">
                  <c:v>17.89</c:v>
                </c:pt>
                <c:pt idx="1">
                  <c:v>17.89</c:v>
                </c:pt>
                <c:pt idx="2">
                  <c:v>18.510000000000002</c:v>
                </c:pt>
                <c:pt idx="3">
                  <c:v>18.29</c:v>
                </c:pt>
                <c:pt idx="4">
                  <c:v>15.84</c:v>
                </c:pt>
                <c:pt idx="5">
                  <c:v>15.62</c:v>
                </c:pt>
                <c:pt idx="6">
                  <c:v>14.79</c:v>
                </c:pt>
                <c:pt idx="7">
                  <c:v>14.4</c:v>
                </c:pt>
                <c:pt idx="8">
                  <c:v>15.29</c:v>
                </c:pt>
                <c:pt idx="9">
                  <c:v>20.75</c:v>
                </c:pt>
                <c:pt idx="10">
                  <c:v>21.42</c:v>
                </c:pt>
                <c:pt idx="11">
                  <c:v>20.77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61-430D-93B4-18EC9F35F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446016"/>
        <c:axId val="721446736"/>
      </c:scatterChart>
      <c:valAx>
        <c:axId val="72144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masse</a:t>
                </a:r>
                <a:r>
                  <a:rPr lang="fr-FR" baseline="0"/>
                  <a:t> de la compression M [g]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446736"/>
        <c:crosses val="autoZero"/>
        <c:crossBetween val="midCat"/>
      </c:valAx>
      <c:valAx>
        <c:axId val="7214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</a:t>
                </a:r>
                <a:r>
                  <a:rPr lang="fr-FR" baseline="0"/>
                  <a:t> max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44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84243816467626"/>
          <c:y val="0.26057057902500846"/>
          <c:w val="0.24824123150469563"/>
          <c:h val="0.501924103380258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Feuil1!$K$28</c:f>
              <c:strCache>
                <c:ptCount val="1"/>
                <c:pt idx="0">
                  <c:v>Moyenne D_max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5006172962424E-2"/>
                  <c:y val="0.125008479697022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Feuil1!$J$29:$J$35</c:f>
              <c:numCache>
                <c:formatCode>0.00E+00</c:formatCode>
                <c:ptCount val="7"/>
                <c:pt idx="0">
                  <c:v>41.804000000000002</c:v>
                </c:pt>
                <c:pt idx="1">
                  <c:v>100.15300000000001</c:v>
                </c:pt>
                <c:pt idx="2">
                  <c:v>20.010000000000002</c:v>
                </c:pt>
                <c:pt idx="3">
                  <c:v>100.02500000000001</c:v>
                </c:pt>
                <c:pt idx="4">
                  <c:v>41.804000000000002</c:v>
                </c:pt>
                <c:pt idx="5">
                  <c:v>20.010000000000002</c:v>
                </c:pt>
                <c:pt idx="6">
                  <c:v>200.06</c:v>
                </c:pt>
              </c:numCache>
            </c:numRef>
          </c:xVal>
          <c:yVal>
            <c:numRef>
              <c:f>Feuil1!$K$29:$K$35</c:f>
              <c:numCache>
                <c:formatCode>0.00E+00</c:formatCode>
                <c:ptCount val="7"/>
                <c:pt idx="0">
                  <c:v>1.5802733851514339</c:v>
                </c:pt>
                <c:pt idx="1">
                  <c:v>1.9335635142583887</c:v>
                </c:pt>
                <c:pt idx="2">
                  <c:v>1.5626681570170062</c:v>
                </c:pt>
                <c:pt idx="3">
                  <c:v>1.9193215360024101</c:v>
                </c:pt>
                <c:pt idx="4">
                  <c:v>1.7400442477876106</c:v>
                </c:pt>
                <c:pt idx="5">
                  <c:v>1.6249424258695779</c:v>
                </c:pt>
                <c:pt idx="6">
                  <c:v>2.257294119040143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4-44CC-A0B9-C8F11148A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080968"/>
        <c:axId val="530078088"/>
      </c:scatterChart>
      <c:valAx>
        <c:axId val="53008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Masse</a:t>
                </a:r>
                <a:r>
                  <a:rPr lang="fr-FR" baseline="0"/>
                  <a:t> compression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078088"/>
        <c:crosses val="autoZero"/>
        <c:crossBetween val="midCat"/>
      </c:valAx>
      <c:valAx>
        <c:axId val="53007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Moy</a:t>
                </a:r>
                <a:r>
                  <a:rPr lang="fr-FR" baseline="0"/>
                  <a:t> D max/ D init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080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Feuil1!$X$1:$X$25</c:f>
              <c:strCache>
                <c:ptCount val="25"/>
                <c:pt idx="0">
                  <c:v>X=plas/visq</c:v>
                </c:pt>
                <c:pt idx="1">
                  <c:v>2,02E+00</c:v>
                </c:pt>
                <c:pt idx="2">
                  <c:v>1,87E+00</c:v>
                </c:pt>
                <c:pt idx="3">
                  <c:v>1,87E+00</c:v>
                </c:pt>
                <c:pt idx="4">
                  <c:v>1,89E+00</c:v>
                </c:pt>
                <c:pt idx="5">
                  <c:v>1,76E+00</c:v>
                </c:pt>
                <c:pt idx="6">
                  <c:v>1,73E+00</c:v>
                </c:pt>
                <c:pt idx="7">
                  <c:v>1,74E+00</c:v>
                </c:pt>
                <c:pt idx="8">
                  <c:v>1,85E+00</c:v>
                </c:pt>
                <c:pt idx="9">
                  <c:v>1,78E+00</c:v>
                </c:pt>
                <c:pt idx="10">
                  <c:v>1,80E+00</c:v>
                </c:pt>
                <c:pt idx="11">
                  <c:v>1,80E+00</c:v>
                </c:pt>
                <c:pt idx="12">
                  <c:v>1,74E+00</c:v>
                </c:pt>
                <c:pt idx="13">
                  <c:v>1,69E+00</c:v>
                </c:pt>
                <c:pt idx="14">
                  <c:v>1,70E+00</c:v>
                </c:pt>
                <c:pt idx="15">
                  <c:v>1,56E+00</c:v>
                </c:pt>
                <c:pt idx="16">
                  <c:v>1,70E+00</c:v>
                </c:pt>
                <c:pt idx="17">
                  <c:v>1,73E+00</c:v>
                </c:pt>
                <c:pt idx="18">
                  <c:v>1,73E+00</c:v>
                </c:pt>
                <c:pt idx="19">
                  <c:v>1,73E+00</c:v>
                </c:pt>
                <c:pt idx="20">
                  <c:v>1,73E+00</c:v>
                </c:pt>
                <c:pt idx="21">
                  <c:v>1,70E+00</c:v>
                </c:pt>
                <c:pt idx="22">
                  <c:v>1,64E+00</c:v>
                </c:pt>
                <c:pt idx="23">
                  <c:v>1,70E+00</c:v>
                </c:pt>
                <c:pt idx="24">
                  <c:v>1,73E+00</c:v>
                </c:pt>
              </c:strCache>
            </c:strRef>
          </c:xVal>
          <c:yVal>
            <c:numRef>
              <c:f>Feuil1!$Y$1:$Y$25</c:f>
              <c:numCache>
                <c:formatCode>0.00E+00</c:formatCode>
                <c:ptCount val="25"/>
                <c:pt idx="0">
                  <c:v>0</c:v>
                </c:pt>
                <c:pt idx="1">
                  <c:v>1.291770566314848</c:v>
                </c:pt>
                <c:pt idx="2">
                  <c:v>1.2403122752642717</c:v>
                </c:pt>
                <c:pt idx="3">
                  <c:v>1.240658589762851</c:v>
                </c:pt>
                <c:pt idx="4">
                  <c:v>1.3438583702393665</c:v>
                </c:pt>
                <c:pt idx="5">
                  <c:v>1.4206898585723746</c:v>
                </c:pt>
                <c:pt idx="6">
                  <c:v>1.5713691955408624</c:v>
                </c:pt>
                <c:pt idx="7">
                  <c:v>1.7351826667044508</c:v>
                </c:pt>
                <c:pt idx="8">
                  <c:v>1.8106177748414936</c:v>
                </c:pt>
                <c:pt idx="9">
                  <c:v>1.7784074814882462</c:v>
                </c:pt>
                <c:pt idx="10">
                  <c:v>1.409261567310359</c:v>
                </c:pt>
                <c:pt idx="11">
                  <c:v>1.399026706765647</c:v>
                </c:pt>
                <c:pt idx="12">
                  <c:v>1.3623013309702956</c:v>
                </c:pt>
                <c:pt idx="13">
                  <c:v>1.6766869986446338</c:v>
                </c:pt>
                <c:pt idx="14">
                  <c:v>1.6784900414069086</c:v>
                </c:pt>
                <c:pt idx="15">
                  <c:v>1.6864788144877765</c:v>
                </c:pt>
                <c:pt idx="16">
                  <c:v>1.7160191647474767</c:v>
                </c:pt>
                <c:pt idx="17">
                  <c:v>1.4973933463181697</c:v>
                </c:pt>
                <c:pt idx="18">
                  <c:v>1.4765962165081949</c:v>
                </c:pt>
                <c:pt idx="19">
                  <c:v>1.3971300404800486</c:v>
                </c:pt>
                <c:pt idx="20">
                  <c:v>1.3602888832260109</c:v>
                </c:pt>
                <c:pt idx="21">
                  <c:v>1.4345507396932158</c:v>
                </c:pt>
                <c:pt idx="22">
                  <c:v>1.9232834562168004</c:v>
                </c:pt>
                <c:pt idx="23">
                  <c:v>2.0096845548874223</c:v>
                </c:pt>
                <c:pt idx="24">
                  <c:v>1.9620277850419616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A-476D-8622-4D201FB20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075568"/>
        <c:axId val="530073408"/>
      </c:scatterChart>
      <c:valAx>
        <c:axId val="53007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073408"/>
        <c:crosses val="autoZero"/>
        <c:crossBetween val="midCat"/>
      </c:valAx>
      <c:valAx>
        <c:axId val="53007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007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163888</xdr:colOff>
      <xdr:row>26</xdr:row>
      <xdr:rowOff>32357</xdr:rowOff>
    </xdr:from>
    <xdr:to>
      <xdr:col>19</xdr:col>
      <xdr:colOff>648440</xdr:colOff>
      <xdr:row>40</xdr:row>
      <xdr:rowOff>65481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3139AE9-2881-CC67-048D-D073FC02F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261855</xdr:colOff>
      <xdr:row>40</xdr:row>
      <xdr:rowOff>52373</xdr:rowOff>
    </xdr:from>
    <xdr:to>
      <xdr:col>10</xdr:col>
      <xdr:colOff>425516</xdr:colOff>
      <xdr:row>52</xdr:row>
      <xdr:rowOff>104744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7B28831-B968-4D2F-A209-4374796EA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348923</xdr:colOff>
      <xdr:row>26</xdr:row>
      <xdr:rowOff>26185</xdr:rowOff>
    </xdr:from>
    <xdr:to>
      <xdr:col>8</xdr:col>
      <xdr:colOff>569536</xdr:colOff>
      <xdr:row>38</xdr:row>
      <xdr:rowOff>52502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F3D3359-45E2-1000-E4FE-D332907D29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221268</xdr:colOff>
      <xdr:row>4</xdr:row>
      <xdr:rowOff>6415</xdr:rowOff>
    </xdr:from>
    <xdr:to>
      <xdr:col>31</xdr:col>
      <xdr:colOff>236979</xdr:colOff>
      <xdr:row>19</xdr:row>
      <xdr:rowOff>131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595372F-B644-9564-4548-45D50EDBF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AFD5-C1B6-4B40-8B68-DE35FC442FD9}">
  <dimension ref="A1:Y35"/>
  <sheetViews>
    <sheetView tabSelected="1" zoomScale="97" zoomScaleNormal="100" workbookViewId="0">
      <selection activeCell="Q3" sqref="Q3"/>
    </sheetView>
  </sheetViews>
  <sheetFormatPr baseColWidth="10" defaultRowHeight="14.5" x14ac:dyDescent="0.35"/>
  <cols>
    <col min="1" max="6" width="10.90625" style="1"/>
    <col min="7" max="7" width="2.81640625" style="1" customWidth="1"/>
    <col min="8" max="13" width="10.90625" style="1"/>
    <col min="14" max="14" width="1.7265625" style="1" customWidth="1"/>
    <col min="15" max="22" width="10.90625" style="1"/>
    <col min="23" max="23" width="2" style="1" customWidth="1"/>
    <col min="24" max="16384" width="10.90625" style="1"/>
  </cols>
  <sheetData>
    <row r="1" spans="1:25" x14ac:dyDescent="0.35">
      <c r="A1" s="2" t="s">
        <v>20</v>
      </c>
      <c r="B1" s="2" t="s">
        <v>0</v>
      </c>
      <c r="C1" s="2" t="s">
        <v>17</v>
      </c>
      <c r="D1" s="2" t="s">
        <v>22</v>
      </c>
      <c r="E1" s="2" t="s">
        <v>18</v>
      </c>
      <c r="F1" s="2" t="s">
        <v>23</v>
      </c>
      <c r="H1" s="3" t="s">
        <v>19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9</v>
      </c>
      <c r="O1" s="4" t="s">
        <v>5</v>
      </c>
      <c r="P1" s="4" t="s">
        <v>6</v>
      </c>
      <c r="Q1" s="4" t="s">
        <v>21</v>
      </c>
      <c r="R1" s="4" t="s">
        <v>10</v>
      </c>
      <c r="S1" s="4" t="s">
        <v>7</v>
      </c>
      <c r="T1" s="4" t="s">
        <v>8</v>
      </c>
      <c r="U1" s="4" t="s">
        <v>11</v>
      </c>
      <c r="V1" s="4" t="s">
        <v>12</v>
      </c>
      <c r="X1" s="5" t="s">
        <v>13</v>
      </c>
      <c r="Y1" s="5" t="s">
        <v>14</v>
      </c>
    </row>
    <row r="2" spans="1:25" x14ac:dyDescent="0.35">
      <c r="A2" s="1">
        <v>9.5E-4</v>
      </c>
      <c r="B2" s="1">
        <v>4.1804000000000001E-2</v>
      </c>
      <c r="C2" s="1">
        <v>9.98</v>
      </c>
      <c r="D2" s="1">
        <f>C2*0.001</f>
        <v>9.980000000000001E-3</v>
      </c>
      <c r="E2" s="1">
        <v>15.85</v>
      </c>
      <c r="F2" s="1">
        <f>E2*0.001</f>
        <v>1.585E-2</v>
      </c>
      <c r="H2" s="1">
        <v>1270</v>
      </c>
      <c r="I2" s="1">
        <v>15</v>
      </c>
      <c r="J2" s="1">
        <v>90</v>
      </c>
      <c r="K2" s="1">
        <v>0.4</v>
      </c>
      <c r="L2" s="1">
        <v>907</v>
      </c>
      <c r="M2" s="1">
        <v>9.81</v>
      </c>
      <c r="O2" s="1">
        <f t="shared" ref="O2:O25" si="0">E2/C2</f>
        <v>1.5881763527054107</v>
      </c>
      <c r="P2" s="1">
        <f t="shared" ref="P2:P25" si="1">A2/H2</f>
        <v>7.4803149606299213E-7</v>
      </c>
      <c r="Q2" s="1">
        <f>P2/(PI()*(D2/2)^2)</f>
        <v>9.5624443425408601E-3</v>
      </c>
      <c r="R2" s="1">
        <f>Q2*((H2*M2*Q2-I2)/J2)^(1/K2)</f>
        <v>1.377085704885604E-2</v>
      </c>
      <c r="S2" s="1">
        <f>I2/(H2*M2*Q2)</f>
        <v>0.12590692295775183</v>
      </c>
      <c r="T2" s="1">
        <f>H2*M2*Q2/(J2*(R2/Q2)^K2)</f>
        <v>1.1440429243345513</v>
      </c>
      <c r="U2" s="1">
        <f>(T2*Q2*2/D2)^(1/(2*K2+3))</f>
        <v>1.2294569903664445</v>
      </c>
      <c r="V2" s="1">
        <f>(Q2*2/(D2*S2))^(1/3)</f>
        <v>2.4782184627224066</v>
      </c>
      <c r="X2" s="1">
        <f>V2/U2</f>
        <v>2.0157016326238169</v>
      </c>
      <c r="Y2" s="1">
        <f>O2/U2</f>
        <v>1.291770566314848</v>
      </c>
    </row>
    <row r="3" spans="1:25" x14ac:dyDescent="0.35">
      <c r="A3" s="1">
        <v>9.5E-4</v>
      </c>
      <c r="B3" s="1">
        <v>4.1804000000000001E-2</v>
      </c>
      <c r="C3" s="1">
        <v>10.81</v>
      </c>
      <c r="D3" s="1">
        <f t="shared" ref="D3:D25" si="2">C3*10^(-3)</f>
        <v>1.081E-2</v>
      </c>
      <c r="E3" s="1">
        <v>15.58</v>
      </c>
      <c r="F3" s="1">
        <f t="shared" ref="F3:F25" si="3">E3*0.001</f>
        <v>1.558E-2</v>
      </c>
      <c r="H3" s="1">
        <v>1270</v>
      </c>
      <c r="I3" s="1">
        <v>15</v>
      </c>
      <c r="J3" s="1">
        <v>90</v>
      </c>
      <c r="K3" s="1">
        <v>0.4</v>
      </c>
      <c r="L3" s="1">
        <v>907</v>
      </c>
      <c r="M3" s="1">
        <v>9.81</v>
      </c>
      <c r="O3" s="1">
        <f t="shared" si="0"/>
        <v>1.4412580943570767</v>
      </c>
      <c r="P3" s="1">
        <f t="shared" si="1"/>
        <v>7.4803149606299213E-7</v>
      </c>
      <c r="Q3" s="1">
        <f t="shared" ref="Q3:Q25" si="4">4*P3/(PI()*D3^2)</f>
        <v>8.1503942155763103E-3</v>
      </c>
      <c r="R3" s="1">
        <f t="shared" ref="R3:R25" si="5">Q3*((H3*M3*Q3-I3)/J3)^(1/K3)</f>
        <v>7.3901997267863066E-3</v>
      </c>
      <c r="S3" s="1">
        <f t="shared" ref="S3:S25" si="6">I3/(H3*M3*Q3)</f>
        <v>0.14772020975662087</v>
      </c>
      <c r="T3" s="1">
        <f t="shared" ref="T3:T25" si="7">H3*M3*Q3/(J3*(R3/Q3)^K3)</f>
        <v>1.1733236097437409</v>
      </c>
      <c r="U3" s="1">
        <f t="shared" ref="U3:U25" si="8">(T3*Q3*2/D3)^(1/(2*K3+3))</f>
        <v>1.1620122795688608</v>
      </c>
      <c r="V3" s="1">
        <f t="shared" ref="V3:V25" si="9">(Q3*2/(D3*S3))^(1/3)</f>
        <v>2.1692736138354105</v>
      </c>
      <c r="X3" s="1">
        <f t="shared" ref="X3:X25" si="10">V3/U3</f>
        <v>1.8668250344482349</v>
      </c>
      <c r="Y3" s="1">
        <f t="shared" ref="Y3:Y25" si="11">O3/U3</f>
        <v>1.2403122752642717</v>
      </c>
    </row>
    <row r="4" spans="1:25" x14ac:dyDescent="0.35">
      <c r="A4" s="1">
        <v>9.5E-4</v>
      </c>
      <c r="B4" s="1">
        <v>4.1804000000000001E-2</v>
      </c>
      <c r="C4" s="1">
        <v>10.8</v>
      </c>
      <c r="D4" s="1">
        <f t="shared" si="2"/>
        <v>1.0800000000000001E-2</v>
      </c>
      <c r="E4" s="1">
        <v>15.58</v>
      </c>
      <c r="F4" s="1">
        <f t="shared" si="3"/>
        <v>1.558E-2</v>
      </c>
      <c r="H4" s="1">
        <v>1270</v>
      </c>
      <c r="I4" s="1">
        <v>15</v>
      </c>
      <c r="J4" s="1">
        <v>90</v>
      </c>
      <c r="K4" s="1">
        <v>0.4</v>
      </c>
      <c r="L4" s="1">
        <v>907</v>
      </c>
      <c r="M4" s="1">
        <v>9.81</v>
      </c>
      <c r="O4" s="1">
        <f t="shared" si="0"/>
        <v>1.4425925925925924</v>
      </c>
      <c r="P4" s="1">
        <f t="shared" si="1"/>
        <v>7.4803149606299213E-7</v>
      </c>
      <c r="Q4" s="1">
        <f t="shared" si="4"/>
        <v>8.1654945258471077E-3</v>
      </c>
      <c r="R4" s="1">
        <f t="shared" si="5"/>
        <v>7.4441941994711717E-3</v>
      </c>
      <c r="S4" s="1">
        <f t="shared" si="6"/>
        <v>0.1474470332829203</v>
      </c>
      <c r="T4" s="1">
        <f t="shared" si="7"/>
        <v>1.1729476513942514</v>
      </c>
      <c r="U4" s="1">
        <f t="shared" si="8"/>
        <v>1.1627635551762396</v>
      </c>
      <c r="V4" s="1">
        <f t="shared" si="9"/>
        <v>2.1726222914185405</v>
      </c>
      <c r="X4" s="1">
        <f t="shared" si="10"/>
        <v>1.8684987861433591</v>
      </c>
      <c r="Y4" s="1">
        <f t="shared" si="11"/>
        <v>1.240658589762851</v>
      </c>
    </row>
    <row r="5" spans="1:25" x14ac:dyDescent="0.35">
      <c r="A5" s="1">
        <v>9.5E-4</v>
      </c>
      <c r="B5" s="1">
        <v>4.1804000000000001E-2</v>
      </c>
      <c r="C5" s="1">
        <v>10.66</v>
      </c>
      <c r="D5" s="1">
        <f t="shared" si="2"/>
        <v>1.0660000000000001E-2</v>
      </c>
      <c r="E5" s="1">
        <v>16.809999999999999</v>
      </c>
      <c r="F5" s="1">
        <f t="shared" si="3"/>
        <v>1.6809999999999999E-2</v>
      </c>
      <c r="H5" s="1">
        <v>1270</v>
      </c>
      <c r="I5" s="1">
        <v>15</v>
      </c>
      <c r="J5" s="1">
        <v>90</v>
      </c>
      <c r="K5" s="1">
        <v>0.4</v>
      </c>
      <c r="L5" s="1">
        <v>907</v>
      </c>
      <c r="M5" s="1">
        <v>9.81</v>
      </c>
      <c r="O5" s="1">
        <f t="shared" si="0"/>
        <v>1.5769230769230769</v>
      </c>
      <c r="P5" s="1">
        <f t="shared" si="1"/>
        <v>7.4803149606299213E-7</v>
      </c>
      <c r="Q5" s="1">
        <f t="shared" si="4"/>
        <v>8.381381200035962E-3</v>
      </c>
      <c r="R5" s="1">
        <f t="shared" si="5"/>
        <v>8.2472566425120502E-3</v>
      </c>
      <c r="S5" s="1">
        <f t="shared" si="6"/>
        <v>0.14364910918488183</v>
      </c>
      <c r="T5" s="1">
        <f t="shared" si="7"/>
        <v>1.1677456177433871</v>
      </c>
      <c r="U5" s="1">
        <f t="shared" si="8"/>
        <v>1.1734295159706429</v>
      </c>
      <c r="V5" s="1">
        <f t="shared" si="9"/>
        <v>2.2203860108613234</v>
      </c>
      <c r="X5" s="1">
        <f t="shared" si="10"/>
        <v>1.892219328593123</v>
      </c>
      <c r="Y5" s="1">
        <f t="shared" si="11"/>
        <v>1.3438583702393665</v>
      </c>
    </row>
    <row r="6" spans="1:25" x14ac:dyDescent="0.35">
      <c r="A6" s="1">
        <v>9.5E-4</v>
      </c>
      <c r="B6" s="1">
        <v>4.1804000000000001E-2</v>
      </c>
      <c r="C6" s="1">
        <v>11.48</v>
      </c>
      <c r="D6" s="1">
        <f t="shared" si="2"/>
        <v>1.1480000000000001E-2</v>
      </c>
      <c r="E6" s="1">
        <v>18.18</v>
      </c>
      <c r="F6" s="1">
        <f t="shared" si="3"/>
        <v>1.8180000000000002E-2</v>
      </c>
      <c r="H6" s="1">
        <v>1270</v>
      </c>
      <c r="I6" s="1">
        <v>15</v>
      </c>
      <c r="J6" s="1">
        <v>90</v>
      </c>
      <c r="K6" s="1">
        <v>0.4</v>
      </c>
      <c r="L6" s="1">
        <v>907</v>
      </c>
      <c r="M6" s="1">
        <v>9.81</v>
      </c>
      <c r="O6" s="1">
        <f t="shared" si="0"/>
        <v>1.5836236933797909</v>
      </c>
      <c r="P6" s="1">
        <f t="shared" si="1"/>
        <v>7.4803149606299213E-7</v>
      </c>
      <c r="Q6" s="1">
        <f t="shared" si="4"/>
        <v>7.2268031775820302E-3</v>
      </c>
      <c r="R6" s="1">
        <f t="shared" si="5"/>
        <v>4.5869333260982531E-3</v>
      </c>
      <c r="S6" s="1">
        <f t="shared" si="6"/>
        <v>0.1665989668653067</v>
      </c>
      <c r="T6" s="1">
        <f t="shared" si="7"/>
        <v>1.1999025202052769</v>
      </c>
      <c r="U6" s="1">
        <f t="shared" si="8"/>
        <v>1.1146864207020846</v>
      </c>
      <c r="V6" s="1">
        <f t="shared" si="9"/>
        <v>1.9623991338956914</v>
      </c>
      <c r="X6" s="1">
        <f t="shared" si="10"/>
        <v>1.7604943394391361</v>
      </c>
      <c r="Y6" s="1">
        <f t="shared" si="11"/>
        <v>1.4206898585723746</v>
      </c>
    </row>
    <row r="7" spans="1:25" x14ac:dyDescent="0.35">
      <c r="A7" s="1">
        <v>9.5E-4</v>
      </c>
      <c r="B7" s="1">
        <v>0.10015300000000001</v>
      </c>
      <c r="C7" s="1">
        <v>11.7</v>
      </c>
      <c r="D7" s="1">
        <f t="shared" si="2"/>
        <v>1.17E-2</v>
      </c>
      <c r="E7" s="1">
        <v>20.23</v>
      </c>
      <c r="F7" s="1">
        <f t="shared" si="3"/>
        <v>2.0230000000000001E-2</v>
      </c>
      <c r="H7" s="1">
        <v>1270</v>
      </c>
      <c r="I7" s="1">
        <v>15</v>
      </c>
      <c r="J7" s="1">
        <v>90</v>
      </c>
      <c r="K7" s="1">
        <v>0.4</v>
      </c>
      <c r="L7" s="1">
        <v>907</v>
      </c>
      <c r="M7" s="1">
        <v>9.81</v>
      </c>
      <c r="O7" s="1">
        <f t="shared" si="0"/>
        <v>1.7290598290598291</v>
      </c>
      <c r="P7" s="1">
        <f t="shared" si="1"/>
        <v>7.4803149606299213E-7</v>
      </c>
      <c r="Q7" s="1">
        <f t="shared" si="4"/>
        <v>6.9575811344496077E-3</v>
      </c>
      <c r="R7" s="1">
        <f t="shared" si="5"/>
        <v>3.9389783449903099E-3</v>
      </c>
      <c r="S7" s="1">
        <f t="shared" si="6"/>
        <v>0.17304547656120503</v>
      </c>
      <c r="T7" s="1">
        <f t="shared" si="7"/>
        <v>1.2092563395646176</v>
      </c>
      <c r="U7" s="1">
        <f t="shared" si="8"/>
        <v>1.1003523767466308</v>
      </c>
      <c r="V7" s="1">
        <f t="shared" si="9"/>
        <v>1.9012857245075279</v>
      </c>
      <c r="X7" s="1">
        <f t="shared" si="10"/>
        <v>1.7278880517611874</v>
      </c>
      <c r="Y7" s="1">
        <f t="shared" si="11"/>
        <v>1.5713691955408624</v>
      </c>
    </row>
    <row r="8" spans="1:25" x14ac:dyDescent="0.35">
      <c r="A8" s="1">
        <v>9.5E-4</v>
      </c>
      <c r="B8" s="1">
        <v>0.10015300000000001</v>
      </c>
      <c r="C8" s="1">
        <v>11.62</v>
      </c>
      <c r="D8" s="1">
        <f t="shared" si="2"/>
        <v>1.162E-2</v>
      </c>
      <c r="E8" s="1">
        <v>22.29</v>
      </c>
      <c r="F8" s="1">
        <f t="shared" si="3"/>
        <v>2.2290000000000001E-2</v>
      </c>
      <c r="H8" s="1">
        <v>1270</v>
      </c>
      <c r="I8" s="1">
        <v>15</v>
      </c>
      <c r="J8" s="1">
        <v>90</v>
      </c>
      <c r="K8" s="1">
        <v>0.4</v>
      </c>
      <c r="L8" s="1">
        <v>907</v>
      </c>
      <c r="M8" s="1">
        <v>9.81</v>
      </c>
      <c r="O8" s="1">
        <f t="shared" si="0"/>
        <v>1.9182444061962134</v>
      </c>
      <c r="P8" s="1">
        <f t="shared" si="1"/>
        <v>7.4803149606299213E-7</v>
      </c>
      <c r="Q8" s="1">
        <f t="shared" si="4"/>
        <v>7.0537123771318875E-3</v>
      </c>
      <c r="R8" s="1">
        <f t="shared" si="5"/>
        <v>4.1623027909468745E-3</v>
      </c>
      <c r="S8" s="1">
        <f t="shared" si="6"/>
        <v>0.17068713306589794</v>
      </c>
      <c r="T8" s="1">
        <f t="shared" si="7"/>
        <v>1.2058175386774277</v>
      </c>
      <c r="U8" s="1">
        <f t="shared" si="8"/>
        <v>1.1054999816471445</v>
      </c>
      <c r="V8" s="1">
        <f t="shared" si="9"/>
        <v>1.9231519969498592</v>
      </c>
      <c r="X8" s="1">
        <f t="shared" si="10"/>
        <v>1.7396219166683753</v>
      </c>
      <c r="Y8" s="1">
        <f t="shared" si="11"/>
        <v>1.7351826667044508</v>
      </c>
    </row>
    <row r="9" spans="1:25" x14ac:dyDescent="0.35">
      <c r="A9" s="1">
        <v>9.5E-4</v>
      </c>
      <c r="B9" s="1">
        <v>0.10015300000000001</v>
      </c>
      <c r="C9" s="1">
        <v>10.93</v>
      </c>
      <c r="D9" s="1">
        <f t="shared" si="2"/>
        <v>1.093E-2</v>
      </c>
      <c r="E9" s="1">
        <v>22.82</v>
      </c>
      <c r="F9" s="1">
        <f t="shared" si="3"/>
        <v>2.282E-2</v>
      </c>
      <c r="H9" s="1">
        <v>1270</v>
      </c>
      <c r="I9" s="1">
        <v>15</v>
      </c>
      <c r="J9" s="1">
        <v>90</v>
      </c>
      <c r="K9" s="1">
        <v>0.4</v>
      </c>
      <c r="L9" s="1">
        <v>907</v>
      </c>
      <c r="M9" s="1">
        <v>9.81</v>
      </c>
      <c r="O9" s="1">
        <f t="shared" si="0"/>
        <v>2.0878316559926806</v>
      </c>
      <c r="P9" s="1">
        <f t="shared" si="1"/>
        <v>7.4803149606299213E-7</v>
      </c>
      <c r="Q9" s="1">
        <f t="shared" si="4"/>
        <v>7.9724109884560784E-3</v>
      </c>
      <c r="R9" s="1">
        <f t="shared" si="5"/>
        <v>6.7746298158931819E-3</v>
      </c>
      <c r="S9" s="1">
        <f t="shared" si="6"/>
        <v>0.15101804772325741</v>
      </c>
      <c r="T9" s="1">
        <f t="shared" si="7"/>
        <v>1.1778813404905339</v>
      </c>
      <c r="U9" s="1">
        <f t="shared" si="8"/>
        <v>1.1531045839729785</v>
      </c>
      <c r="V9" s="1">
        <f t="shared" si="9"/>
        <v>2.1297251214919721</v>
      </c>
      <c r="X9" s="1">
        <f t="shared" si="10"/>
        <v>1.8469487946653409</v>
      </c>
      <c r="Y9" s="1">
        <f t="shared" si="11"/>
        <v>1.8106177748414936</v>
      </c>
    </row>
    <row r="10" spans="1:25" x14ac:dyDescent="0.35">
      <c r="A10" s="1">
        <v>9.5E-4</v>
      </c>
      <c r="B10" s="1">
        <v>0.10015300000000001</v>
      </c>
      <c r="C10" s="1">
        <v>11.34</v>
      </c>
      <c r="D10" s="1">
        <f t="shared" si="2"/>
        <v>1.1339999999999999E-2</v>
      </c>
      <c r="E10" s="1">
        <v>22.67</v>
      </c>
      <c r="F10" s="1">
        <f t="shared" si="3"/>
        <v>2.2670000000000003E-2</v>
      </c>
      <c r="H10" s="1">
        <v>1270</v>
      </c>
      <c r="I10" s="1">
        <v>15</v>
      </c>
      <c r="J10" s="1">
        <v>90</v>
      </c>
      <c r="K10" s="1">
        <v>0.4</v>
      </c>
      <c r="L10" s="1">
        <v>907</v>
      </c>
      <c r="M10" s="1">
        <v>9.81</v>
      </c>
      <c r="O10" s="1">
        <f t="shared" si="0"/>
        <v>1.9991181657848327</v>
      </c>
      <c r="P10" s="1">
        <f t="shared" si="1"/>
        <v>7.4803149606299213E-7</v>
      </c>
      <c r="Q10" s="1">
        <f t="shared" si="4"/>
        <v>7.406344241131165E-3</v>
      </c>
      <c r="R10" s="1">
        <f t="shared" si="5"/>
        <v>5.0590965635424409E-3</v>
      </c>
      <c r="S10" s="1">
        <f t="shared" si="6"/>
        <v>0.16256035419441958</v>
      </c>
      <c r="T10" s="1">
        <f t="shared" si="7"/>
        <v>1.1941159043623299</v>
      </c>
      <c r="U10" s="1">
        <f t="shared" si="8"/>
        <v>1.1241058006075675</v>
      </c>
      <c r="V10" s="1">
        <f t="shared" si="9"/>
        <v>2.0029436569002663</v>
      </c>
      <c r="X10" s="1">
        <f t="shared" si="10"/>
        <v>1.781810623001586</v>
      </c>
      <c r="Y10" s="1">
        <f t="shared" si="11"/>
        <v>1.7784074814882462</v>
      </c>
    </row>
    <row r="11" spans="1:25" x14ac:dyDescent="0.35">
      <c r="A11" s="1">
        <v>9.5E-4</v>
      </c>
      <c r="B11" s="1">
        <v>2.001E-2</v>
      </c>
      <c r="C11" s="1">
        <v>11.21</v>
      </c>
      <c r="D11" s="1">
        <f t="shared" si="2"/>
        <v>1.1210000000000001E-2</v>
      </c>
      <c r="E11" s="1">
        <v>17.899999999999999</v>
      </c>
      <c r="F11" s="1">
        <f t="shared" si="3"/>
        <v>1.7899999999999999E-2</v>
      </c>
      <c r="H11" s="1">
        <v>1270</v>
      </c>
      <c r="I11" s="1">
        <v>15</v>
      </c>
      <c r="J11" s="1">
        <v>90</v>
      </c>
      <c r="K11" s="1">
        <v>0.4</v>
      </c>
      <c r="L11" s="1">
        <v>907</v>
      </c>
      <c r="M11" s="1">
        <v>9.81</v>
      </c>
      <c r="O11" s="1">
        <f t="shared" si="0"/>
        <v>1.5967885816235501</v>
      </c>
      <c r="P11" s="1">
        <f t="shared" si="1"/>
        <v>7.4803149606299213E-7</v>
      </c>
      <c r="Q11" s="1">
        <f t="shared" si="4"/>
        <v>7.5791199037338955E-3</v>
      </c>
      <c r="R11" s="1">
        <f t="shared" si="5"/>
        <v>5.5452224783837222E-3</v>
      </c>
      <c r="S11" s="1">
        <f t="shared" si="6"/>
        <v>0.15885458449218301</v>
      </c>
      <c r="T11" s="1">
        <f t="shared" si="7"/>
        <v>1.1888550797085178</v>
      </c>
      <c r="U11" s="1">
        <f t="shared" si="8"/>
        <v>1.1330675714594949</v>
      </c>
      <c r="V11" s="1">
        <f t="shared" si="9"/>
        <v>2.0418059699705662</v>
      </c>
      <c r="X11" s="1">
        <f t="shared" si="10"/>
        <v>1.8020160680625013</v>
      </c>
      <c r="Y11" s="1">
        <f t="shared" si="11"/>
        <v>1.409261567310359</v>
      </c>
    </row>
    <row r="12" spans="1:25" x14ac:dyDescent="0.35">
      <c r="A12" s="1">
        <v>9.5E-4</v>
      </c>
      <c r="B12" s="1">
        <v>2.001E-2</v>
      </c>
      <c r="C12" s="1">
        <v>11.21</v>
      </c>
      <c r="D12" s="1">
        <f t="shared" si="2"/>
        <v>1.1210000000000001E-2</v>
      </c>
      <c r="E12" s="1">
        <v>17.77</v>
      </c>
      <c r="F12" s="1">
        <f t="shared" si="3"/>
        <v>1.7770000000000001E-2</v>
      </c>
      <c r="H12" s="1">
        <v>1270</v>
      </c>
      <c r="I12" s="1">
        <v>15</v>
      </c>
      <c r="J12" s="1">
        <v>90</v>
      </c>
      <c r="K12" s="1">
        <v>0.4</v>
      </c>
      <c r="L12" s="1">
        <v>907</v>
      </c>
      <c r="M12" s="1">
        <v>9.81</v>
      </c>
      <c r="O12" s="1">
        <f t="shared" si="0"/>
        <v>1.5851917930419266</v>
      </c>
      <c r="P12" s="1">
        <f t="shared" si="1"/>
        <v>7.4803149606299213E-7</v>
      </c>
      <c r="Q12" s="1">
        <f t="shared" si="4"/>
        <v>7.5791199037338955E-3</v>
      </c>
      <c r="R12" s="1">
        <f t="shared" si="5"/>
        <v>5.5452224783837222E-3</v>
      </c>
      <c r="S12" s="1">
        <f t="shared" si="6"/>
        <v>0.15885458449218301</v>
      </c>
      <c r="T12" s="1">
        <f t="shared" si="7"/>
        <v>1.1888550797085178</v>
      </c>
      <c r="U12" s="1">
        <f t="shared" si="8"/>
        <v>1.1330675714594949</v>
      </c>
      <c r="V12" s="1">
        <f t="shared" si="9"/>
        <v>2.0418059699705662</v>
      </c>
      <c r="X12" s="1">
        <f t="shared" si="10"/>
        <v>1.8020160680625013</v>
      </c>
      <c r="Y12" s="1">
        <f t="shared" si="11"/>
        <v>1.399026706765647</v>
      </c>
    </row>
    <row r="13" spans="1:25" x14ac:dyDescent="0.35">
      <c r="A13" s="1">
        <v>9.5E-4</v>
      </c>
      <c r="B13" s="1">
        <v>2.001E-2</v>
      </c>
      <c r="C13" s="1">
        <v>11.62</v>
      </c>
      <c r="D13" s="1">
        <f t="shared" si="2"/>
        <v>1.162E-2</v>
      </c>
      <c r="E13" s="1">
        <v>17.5</v>
      </c>
      <c r="F13" s="1">
        <f t="shared" si="3"/>
        <v>1.7500000000000002E-2</v>
      </c>
      <c r="H13" s="1">
        <v>1270</v>
      </c>
      <c r="I13" s="1">
        <v>15</v>
      </c>
      <c r="J13" s="1">
        <v>90</v>
      </c>
      <c r="K13" s="1">
        <v>0.4</v>
      </c>
      <c r="L13" s="1">
        <v>907</v>
      </c>
      <c r="M13" s="1">
        <v>9.81</v>
      </c>
      <c r="O13" s="1">
        <f t="shared" si="0"/>
        <v>1.5060240963855422</v>
      </c>
      <c r="P13" s="1">
        <f t="shared" si="1"/>
        <v>7.4803149606299213E-7</v>
      </c>
      <c r="Q13" s="1">
        <f t="shared" si="4"/>
        <v>7.0537123771318875E-3</v>
      </c>
      <c r="R13" s="1">
        <f t="shared" si="5"/>
        <v>4.1623027909468745E-3</v>
      </c>
      <c r="S13" s="1">
        <f t="shared" si="6"/>
        <v>0.17068713306589794</v>
      </c>
      <c r="T13" s="1">
        <f t="shared" si="7"/>
        <v>1.2058175386774277</v>
      </c>
      <c r="U13" s="1">
        <f t="shared" si="8"/>
        <v>1.1054999816471445</v>
      </c>
      <c r="V13" s="1">
        <f t="shared" si="9"/>
        <v>1.9231519969498592</v>
      </c>
      <c r="X13" s="1">
        <f t="shared" si="10"/>
        <v>1.7396219166683753</v>
      </c>
      <c r="Y13" s="1">
        <f t="shared" si="11"/>
        <v>1.3623013309702956</v>
      </c>
    </row>
    <row r="14" spans="1:25" x14ac:dyDescent="0.35">
      <c r="A14" s="1">
        <v>5.5000000000000003E-4</v>
      </c>
      <c r="B14" s="1">
        <v>0.100025</v>
      </c>
      <c r="C14" s="1">
        <v>9.2799999999999994</v>
      </c>
      <c r="D14" s="1">
        <f t="shared" si="2"/>
        <v>9.2800000000000001E-3</v>
      </c>
      <c r="E14" s="1">
        <v>17.89</v>
      </c>
      <c r="F14" s="1">
        <f t="shared" si="3"/>
        <v>1.789E-2</v>
      </c>
      <c r="H14" s="1">
        <v>1270</v>
      </c>
      <c r="I14" s="1">
        <v>15</v>
      </c>
      <c r="J14" s="1">
        <v>90</v>
      </c>
      <c r="K14" s="1">
        <v>0.4</v>
      </c>
      <c r="L14" s="1">
        <v>907</v>
      </c>
      <c r="M14" s="1">
        <v>9.81</v>
      </c>
      <c r="O14" s="1">
        <f t="shared" si="0"/>
        <v>1.9278017241379313</v>
      </c>
      <c r="P14" s="1">
        <f t="shared" si="1"/>
        <v>4.3307086614173229E-7</v>
      </c>
      <c r="Q14" s="1">
        <f t="shared" si="4"/>
        <v>6.402847155130168E-3</v>
      </c>
      <c r="R14" s="1">
        <f t="shared" si="5"/>
        <v>2.813331520308091E-3</v>
      </c>
      <c r="S14" s="1">
        <f t="shared" si="6"/>
        <v>0.18803790156999386</v>
      </c>
      <c r="T14" s="1">
        <f t="shared" si="7"/>
        <v>1.2315845800359158</v>
      </c>
      <c r="U14" s="1">
        <f t="shared" si="8"/>
        <v>1.1497683978561821</v>
      </c>
      <c r="V14" s="1">
        <f t="shared" si="9"/>
        <v>1.9432853922055902</v>
      </c>
      <c r="X14" s="1">
        <f t="shared" si="10"/>
        <v>1.6901537699496456</v>
      </c>
      <c r="Y14" s="1">
        <f t="shared" si="11"/>
        <v>1.6766869986446338</v>
      </c>
    </row>
    <row r="15" spans="1:25" x14ac:dyDescent="0.35">
      <c r="A15" s="1">
        <v>5.5000000000000003E-4</v>
      </c>
      <c r="B15" s="1">
        <v>0.100025</v>
      </c>
      <c r="C15" s="1">
        <v>9.25</v>
      </c>
      <c r="D15" s="1">
        <f t="shared" si="2"/>
        <v>9.2499999999999995E-3</v>
      </c>
      <c r="E15" s="1">
        <v>17.89</v>
      </c>
      <c r="F15" s="1">
        <f t="shared" si="3"/>
        <v>1.789E-2</v>
      </c>
      <c r="H15" s="1">
        <v>1270</v>
      </c>
      <c r="I15" s="1">
        <v>15</v>
      </c>
      <c r="J15" s="1">
        <v>90</v>
      </c>
      <c r="K15" s="1">
        <v>0.4</v>
      </c>
      <c r="L15" s="1">
        <v>907</v>
      </c>
      <c r="M15" s="1">
        <v>9.81</v>
      </c>
      <c r="O15" s="1">
        <f t="shared" si="0"/>
        <v>1.9340540540540541</v>
      </c>
      <c r="P15" s="1">
        <f t="shared" si="1"/>
        <v>4.3307086614173229E-7</v>
      </c>
      <c r="Q15" s="1">
        <f t="shared" si="4"/>
        <v>6.4444464858362232E-3</v>
      </c>
      <c r="R15" s="1">
        <f t="shared" si="5"/>
        <v>2.8885937340435357E-3</v>
      </c>
      <c r="S15" s="1">
        <f t="shared" si="6"/>
        <v>0.18682410440837965</v>
      </c>
      <c r="T15" s="1">
        <f t="shared" si="7"/>
        <v>1.2297462399232297</v>
      </c>
      <c r="U15" s="1">
        <f t="shared" si="8"/>
        <v>1.1522582835421127</v>
      </c>
      <c r="V15" s="1">
        <f t="shared" si="9"/>
        <v>1.9538009894219832</v>
      </c>
      <c r="X15" s="1">
        <f t="shared" si="10"/>
        <v>1.6956276360330247</v>
      </c>
      <c r="Y15" s="1">
        <f t="shared" si="11"/>
        <v>1.6784900414069086</v>
      </c>
    </row>
    <row r="16" spans="1:25" x14ac:dyDescent="0.35">
      <c r="A16" s="1">
        <v>5.5000000000000003E-4</v>
      </c>
      <c r="B16" s="1">
        <v>0.100025</v>
      </c>
      <c r="C16" s="1">
        <v>10.07</v>
      </c>
      <c r="D16" s="1">
        <f t="shared" si="2"/>
        <v>1.0070000000000001E-2</v>
      </c>
      <c r="E16" s="1">
        <v>18.510000000000002</v>
      </c>
      <c r="F16" s="1">
        <f t="shared" si="3"/>
        <v>1.8510000000000002E-2</v>
      </c>
      <c r="H16" s="1">
        <v>1270</v>
      </c>
      <c r="I16" s="1">
        <v>15</v>
      </c>
      <c r="J16" s="1">
        <v>90</v>
      </c>
      <c r="K16" s="1">
        <v>0.4</v>
      </c>
      <c r="L16" s="1">
        <v>907</v>
      </c>
      <c r="M16" s="1">
        <v>9.81</v>
      </c>
      <c r="O16" s="1">
        <f t="shared" si="0"/>
        <v>1.8381330685203576</v>
      </c>
      <c r="P16" s="1">
        <f t="shared" si="1"/>
        <v>4.3307086614173229E-7</v>
      </c>
      <c r="Q16" s="1">
        <f t="shared" si="4"/>
        <v>5.4376361738373768E-3</v>
      </c>
      <c r="R16" s="1">
        <f t="shared" si="5"/>
        <v>1.4297996392171116E-3</v>
      </c>
      <c r="S16" s="1">
        <f t="shared" si="6"/>
        <v>0.221415685903536</v>
      </c>
      <c r="T16" s="1">
        <f t="shared" si="7"/>
        <v>1.2843824129188701</v>
      </c>
      <c r="U16" s="1">
        <f t="shared" si="8"/>
        <v>1.0899236045717196</v>
      </c>
      <c r="V16" s="1">
        <f t="shared" si="9"/>
        <v>1.6959020383625163</v>
      </c>
      <c r="X16" s="1">
        <f t="shared" si="10"/>
        <v>1.5559824846888357</v>
      </c>
      <c r="Y16" s="1">
        <f t="shared" si="11"/>
        <v>1.6864788144877765</v>
      </c>
    </row>
    <row r="17" spans="1:25" x14ac:dyDescent="0.35">
      <c r="A17" s="1">
        <v>5.5000000000000003E-4</v>
      </c>
      <c r="B17" s="1">
        <v>0.100025</v>
      </c>
      <c r="C17" s="1">
        <v>9.25</v>
      </c>
      <c r="D17" s="1">
        <f t="shared" si="2"/>
        <v>9.2499999999999995E-3</v>
      </c>
      <c r="E17" s="1">
        <v>18.29</v>
      </c>
      <c r="F17" s="1">
        <f t="shared" si="3"/>
        <v>1.8290000000000001E-2</v>
      </c>
      <c r="H17" s="1">
        <v>1270</v>
      </c>
      <c r="I17" s="1">
        <v>15</v>
      </c>
      <c r="J17" s="1">
        <v>90</v>
      </c>
      <c r="K17" s="1">
        <v>0.4</v>
      </c>
      <c r="L17" s="1">
        <v>907</v>
      </c>
      <c r="M17" s="1">
        <v>9.81</v>
      </c>
      <c r="O17" s="1">
        <f t="shared" si="0"/>
        <v>1.9772972972972973</v>
      </c>
      <c r="P17" s="1">
        <f t="shared" si="1"/>
        <v>4.3307086614173229E-7</v>
      </c>
      <c r="Q17" s="1">
        <f t="shared" si="4"/>
        <v>6.4444464858362232E-3</v>
      </c>
      <c r="R17" s="1">
        <f t="shared" si="5"/>
        <v>2.8885937340435357E-3</v>
      </c>
      <c r="S17" s="1">
        <f t="shared" si="6"/>
        <v>0.18682410440837965</v>
      </c>
      <c r="T17" s="1">
        <f t="shared" si="7"/>
        <v>1.2297462399232297</v>
      </c>
      <c r="U17" s="1">
        <f t="shared" si="8"/>
        <v>1.1522582835421127</v>
      </c>
      <c r="V17" s="1">
        <f t="shared" si="9"/>
        <v>1.9538009894219832</v>
      </c>
      <c r="X17" s="1">
        <f t="shared" si="10"/>
        <v>1.6956276360330247</v>
      </c>
      <c r="Y17" s="1">
        <f t="shared" si="11"/>
        <v>1.7160191647474767</v>
      </c>
    </row>
    <row r="18" spans="1:25" x14ac:dyDescent="0.35">
      <c r="A18" s="1">
        <v>5.5000000000000003E-4</v>
      </c>
      <c r="B18" s="1">
        <v>4.1804000000000001E-2</v>
      </c>
      <c r="C18" s="1">
        <v>9.0399999999999991</v>
      </c>
      <c r="D18" s="1">
        <f t="shared" si="2"/>
        <v>9.0399999999999994E-3</v>
      </c>
      <c r="E18" s="1">
        <v>15.84</v>
      </c>
      <c r="F18" s="1">
        <f t="shared" si="3"/>
        <v>1.584E-2</v>
      </c>
      <c r="H18" s="1">
        <v>1270</v>
      </c>
      <c r="I18" s="1">
        <v>15</v>
      </c>
      <c r="J18" s="1">
        <v>90</v>
      </c>
      <c r="K18" s="1">
        <v>0.4</v>
      </c>
      <c r="L18" s="1">
        <v>907</v>
      </c>
      <c r="M18" s="1">
        <v>9.81</v>
      </c>
      <c r="O18" s="1">
        <f t="shared" si="0"/>
        <v>1.752212389380531</v>
      </c>
      <c r="P18" s="1">
        <f t="shared" si="1"/>
        <v>4.3307086614173229E-7</v>
      </c>
      <c r="Q18" s="1">
        <f t="shared" si="4"/>
        <v>6.7473342720206402E-3</v>
      </c>
      <c r="R18" s="1">
        <f t="shared" si="5"/>
        <v>3.4804849782817029E-3</v>
      </c>
      <c r="S18" s="1">
        <f t="shared" si="6"/>
        <v>0.17843757172616317</v>
      </c>
      <c r="T18" s="1">
        <f t="shared" si="7"/>
        <v>1.2171929552585232</v>
      </c>
      <c r="U18" s="1">
        <f t="shared" si="8"/>
        <v>1.1701750870530561</v>
      </c>
      <c r="V18" s="1">
        <f t="shared" si="9"/>
        <v>2.0300301852261939</v>
      </c>
      <c r="X18" s="1">
        <f t="shared" si="10"/>
        <v>1.7348089253366166</v>
      </c>
      <c r="Y18" s="1">
        <f t="shared" si="11"/>
        <v>1.4973933463181697</v>
      </c>
    </row>
    <row r="19" spans="1:25" x14ac:dyDescent="0.35">
      <c r="A19" s="1">
        <v>5.5000000000000003E-4</v>
      </c>
      <c r="B19" s="1">
        <v>4.1804000000000001E-2</v>
      </c>
      <c r="C19" s="1">
        <v>9.0399999999999991</v>
      </c>
      <c r="D19" s="1">
        <f t="shared" si="2"/>
        <v>9.0399999999999994E-3</v>
      </c>
      <c r="E19" s="1">
        <v>15.62</v>
      </c>
      <c r="F19" s="1">
        <f t="shared" si="3"/>
        <v>1.562E-2</v>
      </c>
      <c r="H19" s="1">
        <v>1270</v>
      </c>
      <c r="I19" s="1">
        <v>15</v>
      </c>
      <c r="J19" s="1">
        <v>90</v>
      </c>
      <c r="K19" s="1">
        <v>0.4</v>
      </c>
      <c r="L19" s="1">
        <v>907</v>
      </c>
      <c r="M19" s="1">
        <v>9.81</v>
      </c>
      <c r="O19" s="1">
        <f t="shared" si="0"/>
        <v>1.7278761061946903</v>
      </c>
      <c r="P19" s="1">
        <f t="shared" si="1"/>
        <v>4.3307086614173229E-7</v>
      </c>
      <c r="Q19" s="1">
        <f t="shared" si="4"/>
        <v>6.7473342720206402E-3</v>
      </c>
      <c r="R19" s="1">
        <f t="shared" si="5"/>
        <v>3.4804849782817029E-3</v>
      </c>
      <c r="S19" s="1">
        <f t="shared" si="6"/>
        <v>0.17843757172616317</v>
      </c>
      <c r="T19" s="1">
        <f t="shared" si="7"/>
        <v>1.2171929552585232</v>
      </c>
      <c r="U19" s="1">
        <f t="shared" si="8"/>
        <v>1.1701750870530561</v>
      </c>
      <c r="V19" s="1">
        <f t="shared" si="9"/>
        <v>2.0300301852261939</v>
      </c>
      <c r="X19" s="1">
        <f t="shared" si="10"/>
        <v>1.7348089253366166</v>
      </c>
      <c r="Y19" s="1">
        <f t="shared" si="11"/>
        <v>1.4765962165081949</v>
      </c>
    </row>
    <row r="20" spans="1:25" x14ac:dyDescent="0.35">
      <c r="A20" s="1">
        <v>5.5000000000000003E-4</v>
      </c>
      <c r="B20" s="1">
        <v>2.001E-2</v>
      </c>
      <c r="C20" s="1">
        <v>9.06</v>
      </c>
      <c r="D20" s="1">
        <f t="shared" si="2"/>
        <v>9.0600000000000003E-3</v>
      </c>
      <c r="E20" s="1">
        <v>14.79</v>
      </c>
      <c r="F20" s="1">
        <f t="shared" si="3"/>
        <v>1.4789999999999999E-2</v>
      </c>
      <c r="H20" s="1">
        <v>1270</v>
      </c>
      <c r="I20" s="1">
        <v>15</v>
      </c>
      <c r="J20" s="1">
        <v>90</v>
      </c>
      <c r="K20" s="1">
        <v>0.4</v>
      </c>
      <c r="L20" s="1">
        <v>907</v>
      </c>
      <c r="M20" s="1">
        <v>9.81</v>
      </c>
      <c r="O20" s="1">
        <f t="shared" si="0"/>
        <v>1.6324503311258276</v>
      </c>
      <c r="P20" s="1">
        <f t="shared" si="1"/>
        <v>4.3307086614173229E-7</v>
      </c>
      <c r="Q20" s="1">
        <f t="shared" si="4"/>
        <v>6.717577597039625E-3</v>
      </c>
      <c r="R20" s="1">
        <f t="shared" si="5"/>
        <v>3.4188205858751066E-3</v>
      </c>
      <c r="S20" s="1">
        <f t="shared" si="6"/>
        <v>0.17922799189616567</v>
      </c>
      <c r="T20" s="1">
        <f t="shared" si="7"/>
        <v>1.2183651368791464</v>
      </c>
      <c r="U20" s="1">
        <f t="shared" si="8"/>
        <v>1.168431200981781</v>
      </c>
      <c r="V20" s="1">
        <f t="shared" si="9"/>
        <v>2.0225668443470362</v>
      </c>
      <c r="X20" s="1">
        <f t="shared" si="10"/>
        <v>1.7310106428581868</v>
      </c>
      <c r="Y20" s="1">
        <f t="shared" si="11"/>
        <v>1.3971300404800486</v>
      </c>
    </row>
    <row r="21" spans="1:25" x14ac:dyDescent="0.35">
      <c r="A21" s="1">
        <v>5.5000000000000003E-4</v>
      </c>
      <c r="B21" s="1">
        <v>2.001E-2</v>
      </c>
      <c r="C21" s="1">
        <v>9.06</v>
      </c>
      <c r="D21" s="1">
        <f t="shared" si="2"/>
        <v>9.0600000000000003E-3</v>
      </c>
      <c r="E21" s="1">
        <v>14.4</v>
      </c>
      <c r="F21" s="1">
        <f t="shared" si="3"/>
        <v>1.4400000000000001E-2</v>
      </c>
      <c r="H21" s="1">
        <v>1270</v>
      </c>
      <c r="I21" s="1">
        <v>15</v>
      </c>
      <c r="J21" s="1">
        <v>90</v>
      </c>
      <c r="K21" s="1">
        <v>0.4</v>
      </c>
      <c r="L21" s="1">
        <v>907</v>
      </c>
      <c r="M21" s="1">
        <v>9.81</v>
      </c>
      <c r="O21" s="1">
        <f t="shared" si="0"/>
        <v>1.5894039735099337</v>
      </c>
      <c r="P21" s="1">
        <f t="shared" si="1"/>
        <v>4.3307086614173229E-7</v>
      </c>
      <c r="Q21" s="1">
        <f t="shared" si="4"/>
        <v>6.717577597039625E-3</v>
      </c>
      <c r="R21" s="1">
        <f t="shared" si="5"/>
        <v>3.4188205858751066E-3</v>
      </c>
      <c r="S21" s="1">
        <f t="shared" si="6"/>
        <v>0.17922799189616567</v>
      </c>
      <c r="T21" s="1">
        <f t="shared" si="7"/>
        <v>1.2183651368791464</v>
      </c>
      <c r="U21" s="1">
        <f t="shared" si="8"/>
        <v>1.168431200981781</v>
      </c>
      <c r="V21" s="1">
        <f t="shared" si="9"/>
        <v>2.0225668443470362</v>
      </c>
      <c r="X21" s="1">
        <f t="shared" si="10"/>
        <v>1.7310106428581868</v>
      </c>
      <c r="Y21" s="1">
        <f t="shared" si="11"/>
        <v>1.3602888832260109</v>
      </c>
    </row>
    <row r="22" spans="1:25" x14ac:dyDescent="0.35">
      <c r="A22" s="1">
        <v>5.5000000000000003E-4</v>
      </c>
      <c r="B22" s="1">
        <v>2.001E-2</v>
      </c>
      <c r="C22" s="1">
        <v>9.25</v>
      </c>
      <c r="D22" s="1">
        <f t="shared" si="2"/>
        <v>9.2499999999999995E-3</v>
      </c>
      <c r="E22" s="1">
        <v>15.29</v>
      </c>
      <c r="F22" s="1">
        <f t="shared" si="3"/>
        <v>1.529E-2</v>
      </c>
      <c r="H22" s="1">
        <v>1270</v>
      </c>
      <c r="I22" s="1">
        <v>15</v>
      </c>
      <c r="J22" s="1">
        <v>90</v>
      </c>
      <c r="K22" s="1">
        <v>0.4</v>
      </c>
      <c r="L22" s="1">
        <v>907</v>
      </c>
      <c r="M22" s="1">
        <v>9.81</v>
      </c>
      <c r="O22" s="1">
        <f t="shared" si="0"/>
        <v>1.652972972972973</v>
      </c>
      <c r="P22" s="1">
        <f t="shared" si="1"/>
        <v>4.3307086614173229E-7</v>
      </c>
      <c r="Q22" s="1">
        <f t="shared" si="4"/>
        <v>6.4444464858362232E-3</v>
      </c>
      <c r="R22" s="1">
        <f t="shared" si="5"/>
        <v>2.8885937340435357E-3</v>
      </c>
      <c r="S22" s="1">
        <f t="shared" si="6"/>
        <v>0.18682410440837965</v>
      </c>
      <c r="T22" s="1">
        <f t="shared" si="7"/>
        <v>1.2297462399232297</v>
      </c>
      <c r="U22" s="1">
        <f t="shared" si="8"/>
        <v>1.1522582835421127</v>
      </c>
      <c r="V22" s="1">
        <f t="shared" si="9"/>
        <v>1.9538009894219832</v>
      </c>
      <c r="X22" s="1">
        <f t="shared" si="10"/>
        <v>1.6956276360330247</v>
      </c>
      <c r="Y22" s="1">
        <f t="shared" si="11"/>
        <v>1.4345507396932158</v>
      </c>
    </row>
    <row r="23" spans="1:25" x14ac:dyDescent="0.35">
      <c r="A23" s="1">
        <v>5.5000000000000003E-4</v>
      </c>
      <c r="B23" s="1">
        <v>0.20005999999999999</v>
      </c>
      <c r="C23" s="1">
        <v>9.59</v>
      </c>
      <c r="D23" s="1">
        <f t="shared" si="2"/>
        <v>9.5899999999999996E-3</v>
      </c>
      <c r="E23" s="1">
        <v>20.75</v>
      </c>
      <c r="F23" s="1">
        <f t="shared" si="3"/>
        <v>2.0750000000000001E-2</v>
      </c>
      <c r="H23" s="1">
        <v>1270</v>
      </c>
      <c r="I23" s="1">
        <v>15</v>
      </c>
      <c r="J23" s="1">
        <v>90</v>
      </c>
      <c r="K23" s="1">
        <v>0.4</v>
      </c>
      <c r="L23" s="1">
        <v>907</v>
      </c>
      <c r="M23" s="1">
        <v>9.81</v>
      </c>
      <c r="O23" s="1">
        <f t="shared" si="0"/>
        <v>2.1637122002085505</v>
      </c>
      <c r="P23" s="1">
        <f t="shared" si="1"/>
        <v>4.3307086614173229E-7</v>
      </c>
      <c r="Q23" s="1">
        <f t="shared" si="4"/>
        <v>5.9955892580618921E-3</v>
      </c>
      <c r="R23" s="1">
        <f t="shared" si="5"/>
        <v>2.1483813545233369E-3</v>
      </c>
      <c r="S23" s="1">
        <f t="shared" si="6"/>
        <v>0.20081061115138404</v>
      </c>
      <c r="T23" s="1">
        <f t="shared" si="7"/>
        <v>1.2512678646055222</v>
      </c>
      <c r="U23" s="1">
        <f t="shared" si="8"/>
        <v>1.1250095211990676</v>
      </c>
      <c r="V23" s="1">
        <f t="shared" si="9"/>
        <v>1.8397219971380192</v>
      </c>
      <c r="X23" s="1">
        <f t="shared" si="10"/>
        <v>1.6352946019311823</v>
      </c>
      <c r="Y23" s="1">
        <f t="shared" si="11"/>
        <v>1.9232834562168004</v>
      </c>
    </row>
    <row r="24" spans="1:25" x14ac:dyDescent="0.35">
      <c r="A24" s="1">
        <v>5.5000000000000003E-4</v>
      </c>
      <c r="B24" s="1">
        <v>0.20005999999999999</v>
      </c>
      <c r="C24" s="1">
        <v>9.25</v>
      </c>
      <c r="D24" s="1">
        <f t="shared" si="2"/>
        <v>9.2499999999999995E-3</v>
      </c>
      <c r="E24" s="1">
        <v>21.42</v>
      </c>
      <c r="F24" s="1">
        <f t="shared" si="3"/>
        <v>2.1420000000000002E-2</v>
      </c>
      <c r="H24" s="1">
        <v>1270</v>
      </c>
      <c r="I24" s="1">
        <v>15</v>
      </c>
      <c r="J24" s="1">
        <v>90</v>
      </c>
      <c r="K24" s="1">
        <v>0.4</v>
      </c>
      <c r="L24" s="1">
        <v>907</v>
      </c>
      <c r="M24" s="1">
        <v>9.81</v>
      </c>
      <c r="O24" s="1">
        <f t="shared" si="0"/>
        <v>2.315675675675676</v>
      </c>
      <c r="P24" s="1">
        <f t="shared" si="1"/>
        <v>4.3307086614173229E-7</v>
      </c>
      <c r="Q24" s="1">
        <f t="shared" si="4"/>
        <v>6.4444464858362232E-3</v>
      </c>
      <c r="R24" s="1">
        <f t="shared" si="5"/>
        <v>2.8885937340435357E-3</v>
      </c>
      <c r="S24" s="1">
        <f t="shared" si="6"/>
        <v>0.18682410440837965</v>
      </c>
      <c r="T24" s="1">
        <f t="shared" si="7"/>
        <v>1.2297462399232297</v>
      </c>
      <c r="U24" s="1">
        <f t="shared" si="8"/>
        <v>1.1522582835421127</v>
      </c>
      <c r="V24" s="1">
        <f t="shared" si="9"/>
        <v>1.9538009894219832</v>
      </c>
      <c r="X24" s="1">
        <f t="shared" si="10"/>
        <v>1.6956276360330247</v>
      </c>
      <c r="Y24" s="1">
        <f t="shared" si="11"/>
        <v>2.0096845548874223</v>
      </c>
    </row>
    <row r="25" spans="1:25" x14ac:dyDescent="0.35">
      <c r="A25" s="1">
        <v>5.5000000000000003E-4</v>
      </c>
      <c r="B25" s="1">
        <v>0.20005999999999999</v>
      </c>
      <c r="C25" s="1">
        <v>9.06</v>
      </c>
      <c r="D25" s="1">
        <f t="shared" si="2"/>
        <v>9.0600000000000003E-3</v>
      </c>
      <c r="E25" s="1">
        <v>20.77</v>
      </c>
      <c r="F25" s="1">
        <f t="shared" si="3"/>
        <v>2.077E-2</v>
      </c>
      <c r="H25" s="1">
        <v>1270</v>
      </c>
      <c r="I25" s="1">
        <v>15</v>
      </c>
      <c r="J25" s="1">
        <v>90</v>
      </c>
      <c r="K25" s="1">
        <v>0.4</v>
      </c>
      <c r="L25" s="1">
        <v>907</v>
      </c>
      <c r="M25" s="1">
        <v>9.81</v>
      </c>
      <c r="O25" s="1">
        <f t="shared" si="0"/>
        <v>2.2924944812362029</v>
      </c>
      <c r="P25" s="1">
        <f t="shared" si="1"/>
        <v>4.3307086614173229E-7</v>
      </c>
      <c r="Q25" s="1">
        <f t="shared" si="4"/>
        <v>6.717577597039625E-3</v>
      </c>
      <c r="R25" s="1">
        <f t="shared" si="5"/>
        <v>3.4188205858751066E-3</v>
      </c>
      <c r="S25" s="1">
        <f t="shared" si="6"/>
        <v>0.17922799189616567</v>
      </c>
      <c r="T25" s="1">
        <f t="shared" si="7"/>
        <v>1.2183651368791464</v>
      </c>
      <c r="U25" s="1">
        <f t="shared" si="8"/>
        <v>1.168431200981781</v>
      </c>
      <c r="V25" s="1">
        <f t="shared" si="9"/>
        <v>2.0225668443470362</v>
      </c>
      <c r="X25" s="1">
        <f t="shared" si="10"/>
        <v>1.7310106428581868</v>
      </c>
      <c r="Y25" s="1">
        <f t="shared" si="11"/>
        <v>1.9620277850419616</v>
      </c>
    </row>
    <row r="28" spans="1:25" ht="25" customHeight="1" x14ac:dyDescent="0.35">
      <c r="J28" s="6" t="s">
        <v>15</v>
      </c>
      <c r="K28" s="6" t="s">
        <v>16</v>
      </c>
    </row>
    <row r="29" spans="1:25" x14ac:dyDescent="0.35">
      <c r="J29" s="1">
        <v>41.804000000000002</v>
      </c>
      <c r="K29" s="1">
        <f>AVERAGE(O1,O5,O6)</f>
        <v>1.5802733851514339</v>
      </c>
    </row>
    <row r="30" spans="1:25" x14ac:dyDescent="0.35">
      <c r="J30" s="1">
        <v>100.15300000000001</v>
      </c>
      <c r="K30" s="1">
        <f>AVERAGE(O7:O10)</f>
        <v>1.9335635142583887</v>
      </c>
    </row>
    <row r="31" spans="1:25" x14ac:dyDescent="0.35">
      <c r="J31" s="1">
        <v>20.010000000000002</v>
      </c>
      <c r="K31" s="1">
        <f>AVERAGE(O11:O13)</f>
        <v>1.5626681570170062</v>
      </c>
    </row>
    <row r="32" spans="1:25" x14ac:dyDescent="0.35">
      <c r="J32" s="1">
        <v>100.02500000000001</v>
      </c>
      <c r="K32" s="1">
        <f>AVERAGE(O14:O17)</f>
        <v>1.9193215360024101</v>
      </c>
    </row>
    <row r="33" spans="10:11" x14ac:dyDescent="0.35">
      <c r="J33" s="1">
        <v>41.804000000000002</v>
      </c>
      <c r="K33" s="1">
        <f>AVERAGE(O18:O19)</f>
        <v>1.7400442477876106</v>
      </c>
    </row>
    <row r="34" spans="10:11" x14ac:dyDescent="0.35">
      <c r="J34" s="1">
        <v>20.010000000000002</v>
      </c>
      <c r="K34" s="1">
        <f>AVERAGE(O20:O22)</f>
        <v>1.6249424258695779</v>
      </c>
    </row>
    <row r="35" spans="10:11" x14ac:dyDescent="0.35">
      <c r="J35" s="1">
        <v>200.06</v>
      </c>
      <c r="K35" s="1">
        <f>AVERAGE(O23:O25)</f>
        <v>2.257294119040143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2026-01-28T08:59:53Z</dcterms:created>
  <dcterms:modified xsi:type="dcterms:W3CDTF">2026-01-29T12:33:12Z</dcterms:modified>
</cp:coreProperties>
</file>